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sheetId="1" r:id="rId4"/>
    <sheet state="visible" name="FillIn" sheetId="2" r:id="rId5"/>
    <sheet state="visible" name="Employee" sheetId="3" r:id="rId6"/>
    <sheet state="visible" name="ZZP" sheetId="4" r:id="rId7"/>
    <sheet state="visible" name="Reglement" sheetId="5" r:id="rId8"/>
    <sheet state="visible" name="Правилник" sheetId="6" r:id="rId9"/>
    <sheet state="visible" name="Regulations" sheetId="7" r:id="rId10"/>
    <sheet state="visible" name="Termination" sheetId="8" r:id="rId11"/>
    <sheet state="visible" name="SelfT" sheetId="9" r:id="rId12"/>
    <sheet state="visible" name="Unpaid" sheetId="10" r:id="rId13"/>
    <sheet state="visible" name="Annex" sheetId="11" r:id="rId14"/>
    <sheet state="visible" name="AgrTM" sheetId="12" r:id="rId15"/>
    <sheet state="visible" name="AgrLoan" sheetId="13" r:id="rId16"/>
    <sheet state="visible" name="AgrPlan" sheetId="14" r:id="rId17"/>
    <sheet state="visible" name="AODriver" sheetId="15" r:id="rId18"/>
    <sheet state="visible" name="TempAO" sheetId="16" r:id="rId19"/>
    <sheet state="visible" name="KIWA" sheetId="17" r:id="rId20"/>
    <sheet state="hidden" name="Schalen25" sheetId="18" r:id="rId21"/>
    <sheet state="hidden" name="Vakantie" sheetId="19" r:id="rId22"/>
    <sheet state="visible" name="CRM" sheetId="20" r:id="rId23"/>
  </sheets>
  <definedNames>
    <definedName name="Leeftijd">Vakantie!$D$2:$D$9</definedName>
    <definedName name="Account">CRM!$A$2:$A$546</definedName>
    <definedName name="CRM">CRM!$A$2:$O$546</definedName>
    <definedName name="Schalen25">Schalen25!$A$4:$I$61</definedName>
    <definedName name="Mins">Vakantie!$B$2:$B$9</definedName>
    <definedName name="Vakantie">Vakantie!$A$2:$E$9</definedName>
  </definedNames>
  <calcPr/>
</workbook>
</file>

<file path=xl/sharedStrings.xml><?xml version="1.0" encoding="utf-8"?>
<sst xmlns="http://schemas.openxmlformats.org/spreadsheetml/2006/main" count="7345" uniqueCount="5114">
  <si>
    <t xml:space="preserve">                                        New Employee Application Form</t>
  </si>
  <si>
    <t>Salutation</t>
  </si>
  <si>
    <t>Bank account</t>
  </si>
  <si>
    <t>Initials</t>
  </si>
  <si>
    <t>Date of birth</t>
  </si>
  <si>
    <t>Last Name</t>
  </si>
  <si>
    <t>Employment date</t>
  </si>
  <si>
    <t>Address/Street</t>
  </si>
  <si>
    <t>Contract duration</t>
  </si>
  <si>
    <t>month</t>
  </si>
  <si>
    <t>Postal Code/City</t>
  </si>
  <si>
    <t>Probationary period</t>
  </si>
  <si>
    <t>Country</t>
  </si>
  <si>
    <t>Hourly wage</t>
  </si>
  <si>
    <t>D5</t>
  </si>
  <si>
    <t>Telephone</t>
  </si>
  <si>
    <t>Working hours</t>
  </si>
  <si>
    <t>uur</t>
  </si>
  <si>
    <t>per week</t>
  </si>
  <si>
    <t>Email</t>
  </si>
  <si>
    <t>Position</t>
  </si>
  <si>
    <t>Driver</t>
  </si>
  <si>
    <t>KIWA</t>
  </si>
  <si>
    <t>BSN</t>
  </si>
  <si>
    <t>New ZZP Application Form</t>
  </si>
  <si>
    <t>KvK Number</t>
  </si>
  <si>
    <t>Merge Driver, Truck, Client</t>
  </si>
  <si>
    <r>
      <rPr>
        <rFont val="&quot;Aptos Narrow&quot;, sans-serif"/>
        <color rgb="FF1155CC"/>
        <sz val="11.0"/>
        <u/>
      </rPr>
      <t>Inhoud</t>
    </r>
  </si>
  <si>
    <t>De ondertekende:</t>
  </si>
  <si>
    <t>Krachten:</t>
  </si>
  <si>
    <t>Werkgever:</t>
  </si>
  <si>
    <t>DeNeX Uitzendbureau B.V.</t>
  </si>
  <si>
    <t>Naam:</t>
  </si>
  <si>
    <t>dhr. G. Aslan</t>
  </si>
  <si>
    <t>Bedrijfsnaam:</t>
  </si>
  <si>
    <t>Adres:</t>
  </si>
  <si>
    <t>Postcode:</t>
  </si>
  <si>
    <t>Plaats:</t>
  </si>
  <si>
    <t>Geb.datum:</t>
  </si>
  <si>
    <t>BSN:</t>
  </si>
  <si>
    <t>Telefoon:</t>
  </si>
  <si>
    <t>BTW Nummer:</t>
  </si>
  <si>
    <t>In dienst van</t>
  </si>
  <si>
    <t>KvK Nummer:</t>
  </si>
  <si>
    <t>Dienst tot</t>
  </si>
  <si>
    <t>Functie</t>
  </si>
  <si>
    <t>Proeftijd</t>
  </si>
  <si>
    <t>Transportmanager:</t>
  </si>
  <si>
    <t>Intern</t>
  </si>
  <si>
    <t>Arbeidsduur</t>
  </si>
  <si>
    <t>Aantal voertuig(en)</t>
  </si>
  <si>
    <t>Weekplanning</t>
  </si>
  <si>
    <t>maandag t/m vrijdag</t>
  </si>
  <si>
    <t>Uur per week:</t>
  </si>
  <si>
    <t>Werktijden</t>
  </si>
  <si>
    <t>tussen 7:00 uur t/m 19:00 uur</t>
  </si>
  <si>
    <t>Opzegtermijn:</t>
  </si>
  <si>
    <t>1 maand</t>
  </si>
  <si>
    <t>Vergoeding:</t>
  </si>
  <si>
    <t>per mnd</t>
  </si>
  <si>
    <t>Vergoeding incl. BTW:</t>
  </si>
  <si>
    <t>Loonschaal</t>
  </si>
  <si>
    <t>D 5</t>
  </si>
  <si>
    <t>Trede</t>
  </si>
  <si>
    <t>Weekloon:</t>
  </si>
  <si>
    <t>Uurloon 100%</t>
  </si>
  <si>
    <t>Loon 4 weken:</t>
  </si>
  <si>
    <t>Afwijkende loon:</t>
  </si>
  <si>
    <t>Reiskosten</t>
  </si>
  <si>
    <t>Loon maand:</t>
  </si>
  <si>
    <t>Max.reiskosten</t>
  </si>
  <si>
    <t>Uurloon 130%</t>
  </si>
  <si>
    <t>Uurloon 150%</t>
  </si>
  <si>
    <t>Plaats</t>
  </si>
  <si>
    <t>Rijswijk</t>
  </si>
  <si>
    <t>Datum</t>
  </si>
  <si>
    <t>Leeftijd:</t>
  </si>
  <si>
    <t>CAO (niet in te vullen)</t>
  </si>
  <si>
    <t>Vakantie leeftijd</t>
  </si>
  <si>
    <t>19 t/m 39 jaar</t>
  </si>
  <si>
    <t>Vacantiedagen</t>
  </si>
  <si>
    <t>Onbetaald verlof:</t>
  </si>
  <si>
    <t>ATV</t>
  </si>
  <si>
    <t>Aantal dagen:</t>
  </si>
  <si>
    <t>Vakantiebijslag</t>
  </si>
  <si>
    <t>Dagen/Uren:</t>
  </si>
  <si>
    <t>dagen</t>
  </si>
  <si>
    <t>Begin datum:</t>
  </si>
  <si>
    <t>Annex</t>
  </si>
  <si>
    <t>Eind datum:</t>
  </si>
  <si>
    <t>Datum:</t>
  </si>
  <si>
    <t>functiewijziging:</t>
  </si>
  <si>
    <t>Uitzendkracht:</t>
  </si>
  <si>
    <t>Functie en Schaal:</t>
  </si>
  <si>
    <t>Contractduur:</t>
  </si>
  <si>
    <t>Arbeidsduur:</t>
  </si>
  <si>
    <t>Einddatum:</t>
  </si>
  <si>
    <t>Uur per week</t>
  </si>
  <si>
    <t>vakantiedagen</t>
  </si>
  <si>
    <t>Werkdagen:</t>
  </si>
  <si>
    <t>za zo</t>
  </si>
  <si>
    <t>vakantietoeslag</t>
  </si>
  <si>
    <t>Werktijden van:</t>
  </si>
  <si>
    <t>Werktijden tot:</t>
  </si>
  <si>
    <t>ZZP</t>
  </si>
  <si>
    <t>functiegroep</t>
  </si>
  <si>
    <t>A.A. Kazakov</t>
  </si>
  <si>
    <t>Functiegroep:</t>
  </si>
  <si>
    <t>FunctieJaar:</t>
  </si>
  <si>
    <t>Postcode/Plaats:</t>
  </si>
  <si>
    <t>Ondertekening</t>
  </si>
  <si>
    <t>Contact:</t>
  </si>
  <si>
    <t>KvK:</t>
  </si>
  <si>
    <t>Factureren:</t>
  </si>
  <si>
    <t>Aan het eind van de gewerkte week.</t>
  </si>
  <si>
    <t>Winkeldistributie</t>
  </si>
  <si>
    <t>Depod</t>
  </si>
  <si>
    <t>Aanvang</t>
  </si>
  <si>
    <t>Name</t>
  </si>
  <si>
    <t>ContractEndDate</t>
  </si>
  <si>
    <t>dhr. G. Boeru</t>
  </si>
  <si>
    <t>de heer</t>
  </si>
  <si>
    <t>G.</t>
  </si>
  <si>
    <t>Boeru</t>
  </si>
  <si>
    <t>Str.Lanternie Nr.92</t>
  </si>
  <si>
    <t>023095 Bucuresti</t>
  </si>
  <si>
    <t>ROMANIA</t>
  </si>
  <si>
    <t>boerugabi@yahoo.com</t>
  </si>
  <si>
    <t>NL54INGB0105640972</t>
  </si>
  <si>
    <t>6 maanden</t>
  </si>
  <si>
    <t>40 uur per week</t>
  </si>
  <si>
    <t>Chauffeur</t>
  </si>
  <si>
    <t>dhr. R. Tataru</t>
  </si>
  <si>
    <t>R.</t>
  </si>
  <si>
    <t>Tataru</t>
  </si>
  <si>
    <t>Str.Grainitei Nr.27 Bl.S2 Sc.B Ap.2</t>
  </si>
  <si>
    <t>705200 Pascani</t>
  </si>
  <si>
    <t>rabert_tataru88@yahoo.com</t>
  </si>
  <si>
    <t>dhr. I. Gyurov</t>
  </si>
  <si>
    <t>I.</t>
  </si>
  <si>
    <t>Gyurov</t>
  </si>
  <si>
    <t>Str.Blagoy Gebrev 58/43</t>
  </si>
  <si>
    <t>BULGARIJE</t>
  </si>
  <si>
    <t>Ivan.v.gyurov@gmail.com</t>
  </si>
  <si>
    <t>dhr. R. Stiac</t>
  </si>
  <si>
    <t>Stiac</t>
  </si>
  <si>
    <t>Ale.Trandafirilor,2A Bl.1 Sc.B,Et.5,Ap.503  Oradea</t>
  </si>
  <si>
    <t>0040 775 309 576</t>
  </si>
  <si>
    <t>razvanstiac@yahoo.com</t>
  </si>
  <si>
    <t>RO44BRDE0505V1117399050</t>
  </si>
  <si>
    <t>dhr. D.I. Bejan</t>
  </si>
  <si>
    <t>D.I.</t>
  </si>
  <si>
    <t>Bejan</t>
  </si>
  <si>
    <t>Sat.Stroiesti</t>
  </si>
  <si>
    <t>717226 Botasani</t>
  </si>
  <si>
    <t>bejan.olani20@gmail.com</t>
  </si>
  <si>
    <t>NL64INGB0102322422</t>
  </si>
  <si>
    <t>Aslan</t>
  </si>
  <si>
    <t>Bikscotelaan 248 /2/2140 Borgerhout</t>
  </si>
  <si>
    <t>2140 Antwerp</t>
  </si>
  <si>
    <t>BELGIUM</t>
  </si>
  <si>
    <t>0032 483120970</t>
  </si>
  <si>
    <t>gorkanaslan@hotmail.com</t>
  </si>
  <si>
    <t>BE58143105213779</t>
  </si>
  <si>
    <t>OVEREENKOMST VAN OPDRACHT</t>
  </si>
  <si>
    <t>De ondergetekenden:</t>
  </si>
  <si>
    <t>Opdrachtgever:</t>
  </si>
  <si>
    <t>Opdrachtnemer:</t>
  </si>
  <si>
    <t>Bedrijfsnaam</t>
  </si>
  <si>
    <t>:</t>
  </si>
  <si>
    <t>Adres</t>
  </si>
  <si>
    <t>Postcode/Plaats</t>
  </si>
  <si>
    <t>Contact</t>
  </si>
  <si>
    <t>OVERWEGENDE DAT:</t>
  </si>
  <si>
    <t>de Opdrachtnemer door de Opdrachtgever is benaderd om de nader te noemen werkzaamheden te verrichten, en de Opdrachtnemer in staat en bereid is deze werkzaamheden te verrichten;</t>
  </si>
  <si>
    <t>de Partijen overeen zijn gekomen zich uitsluitend te verbinden op basis van een overeenkomst van Opdracht in de zin van artikel 7:400 BW en aanverwante wetgeving;</t>
  </si>
  <si>
    <t>de Partijen uitdrukkelijk overeenkomen geen arbeidsovereenkomst aan te gaan in de zin van artikel 7:610 BW en aanverwante wetgeving;</t>
  </si>
  <si>
    <t>de Partijen zijn overeengekomen alle afspraken met betrekking tot de Opdracht in deze overeenkomst vast te leggen.</t>
  </si>
  <si>
    <t>KOMEN ALS VOLGT OVEREEN:</t>
  </si>
  <si>
    <t>Artikel 1: DE OPDRACHT</t>
  </si>
  <si>
    <t>De Opdrachtnemer zal voor de Opdrachtgever gedurende de duur van de overeenkomst de volgende werkzaamheden verrichten (de "Opdracht"):</t>
  </si>
  <si>
    <t>Opdrachtnemer verricht diensten als zijnde:</t>
  </si>
  <si>
    <t>Vrachtwagenchauffeur</t>
  </si>
  <si>
    <t>Artikel 2: UITVOERING VAN DE OPDRACHT</t>
  </si>
  <si>
    <t>De Opdrachtnemer zal bij zijn werkzaamheden de normen van een goede Opdrachtnemer in acht houden en aanvaardt de volledige verantwoordelijkheid de Opdracht op een juiste wijze uit te voeren.</t>
  </si>
  <si>
    <t>Ingeval de Opdrachtnemer op een bepaald tijdstip verwacht dat hij de Opdracht niet of niet naar behoren kan uitvoeren, dient de Opdrachtnemer de Opdrachtgever hiervan onverwijld op de hoogte te brengen. De Partijen treden alsdan in overleg over mogelijke aanpassingen.</t>
  </si>
  <si>
    <t>De Opdrachtnemer voert de werkzaamheden met betrekking tot de Opdracht zelfstandig en naar eigen inzicht uit. De Opdrachtgever kan aanwijzingen geven met betrekking tot de uitvoering van de Opdracht.</t>
  </si>
  <si>
    <t xml:space="preserve">De Opdrachtgever dient de Opdrachtnemer alle benodigde informatie en zaken ten behoeve van de Opdracht te verstrekken. </t>
  </si>
  <si>
    <t>De Opdrachtgever is verantwoordelijk en aansprakelijk voor schade die voorkomt uit foutief of onjuist verstrekte informatie of zaken.</t>
  </si>
  <si>
    <t>Artikel 3: UITBESTEDING AAN DERDEN</t>
  </si>
  <si>
    <t>De Opdrachtnemer is gerechtigd de Opdracht gedeeltelijk of geheel uit te besteden aan derden.</t>
  </si>
  <si>
    <t>Artikel 4: VERVANGING</t>
  </si>
  <si>
    <t>De Opdrachtnemer is in geval van verhindering vrij vervanging aan te wijzen voor de werkzaamheden; De Opdrachtnemer stelt de Opdrachtgever tijdig op de hoogte indien hij verhinderd is in het uitvoeren van de overeenkomst.</t>
  </si>
  <si>
    <t>Artikel 5: DUUR</t>
  </si>
  <si>
    <t>De overeenkomst vangt aan op 29 september 2025 voor een onbepaalde duur.</t>
  </si>
  <si>
    <t>Artikel 6: VERGOEDING</t>
  </si>
  <si>
    <t>Ter zake van de uitvoering van de Opdracht zal de Opdrachtnemer van de Opdrachtgever de volgende vergoeding ontvangen:</t>
  </si>
  <si>
    <t>euro per gewerkt uur Winkeldistributie</t>
  </si>
  <si>
    <t>euro per gewerkt uur Depod</t>
  </si>
  <si>
    <t>De Opdrachtnemer zal een factuur zenden of doen zenden aan de Opdrachtgever voor de verrichte werkzaamheden. De</t>
  </si>
  <si>
    <t>factuur zal in ieder geval voldoen aan de wettelijke vereisten en zal worden verzonden op het volgende moment:</t>
  </si>
  <si>
    <t>De Opdrachtgever betaalt de factuur zodra de factuur welke door de Opdrachtgever naar de transporteur is verzonden,</t>
  </si>
  <si>
    <t>is voldaan aan de Opdrachtgever.</t>
  </si>
  <si>
    <t>De Opdrachtnemer is verantwoordelijk voor alle overige kosten die redelijkerwijs gemaakt worden ten behoeve van de</t>
  </si>
  <si>
    <t>uitvoering van de Opdracht. De overige kosten kunnen niet verhaald worden op de Opdrachtgever.</t>
  </si>
  <si>
    <t>Artikel 7: INTELLECTUELE EIGENDOM</t>
  </si>
  <si>
    <t>De Opdrachtgever behoudt alle intellectuele eigendomsrechten op informatie of zaken die door de Opdrachtgever aan de</t>
  </si>
  <si>
    <t>Opdrachtnemer worden verstrekt ter uitvoering van de Opdracht. De Opdrachtnemer mag deze informatie of zaken niet</t>
  </si>
  <si>
    <t>kopiëren, verstrekken aan derden of op een andere wijze gebruiken, anders dan ter uitvoering van de Opdracht.</t>
  </si>
  <si>
    <t>Het eigendom van het uit hoofde van de Opdracht tot stand gekomen werk komt toe aan de Opdrachtnemer.</t>
  </si>
  <si>
    <t>Artikel 8: BEËINDIGING EN OPZEGGING</t>
  </si>
  <si>
    <t>De overeenkomst kan door beide Partijen schriftelijk worden opgezegd met inachtneming van een opzegtermijn van 14 dagen,</t>
  </si>
  <si>
    <t>tenzij de redelijkheid en billijkheid zich hiertegen verzet. Partijen treden alsdan in overleg over een redelijke oplossing.</t>
  </si>
  <si>
    <t>De Partijen zijn gerechtigd de overeenkomst per direct te beëindigen indien een dringende reden dit rechtvaardigt. Van een</t>
  </si>
  <si>
    <t>dringende reden is in ieder geval sprake in de volgende gevallen:</t>
  </si>
  <si>
    <t>• het overlijden van een van de Partijen;</t>
  </si>
  <si>
    <t>• faillietverklaring dan wel surséance van betaling van een van de Partijen;</t>
  </si>
  <si>
    <t>• het na sommatie niet-nakomen van de verplichtingen uit hoofde van deze overeenkomst door een van de Partijen;</t>
  </si>
  <si>
    <t>• handelingen in strijd met de wet- of regelgeving door een van de Partijen.</t>
  </si>
  <si>
    <t>Artikel 9: AANSPRAKELIJKHEID</t>
  </si>
  <si>
    <t>De aansprakelijkheid van de Partijen is beperkt tot het door zijn aansprakelijkheidsverzekering uitgekeerde bedrag, verhoogd</t>
  </si>
  <si>
    <t>met het eigen risico. In geval er geen uitkering plaatsvindt is de aansprakelijkheid tot schadevergoeding beperkt tot een</t>
  </si>
  <si>
    <t>bedrag van €1.500 (duizend vijfhonderd euro).</t>
  </si>
  <si>
    <t>De Opdrachtnemer is verplicht de nodige verzekeringen af te sluiten die zijn aansprakelijkheidsrisico's voldoende dekken.</t>
  </si>
  <si>
    <t>De Opdrachtnemer kan niet aansprakelijk worden gehouden voor indirecte schade, waaronder gederfde winst, gevolgschade</t>
  </si>
  <si>
    <t>en schade door bedrijfsstagnatie.</t>
  </si>
  <si>
    <t>De Opdrachtnemer kan niet aansprakelijk worden gehouden door derden met betrekking tot rechten van intellectuele</t>
  </si>
  <si>
    <t>eigendom op door de Opdrachtgever verstrekte zaken ten behoeve van de uitvoering van de Opdracht.</t>
  </si>
  <si>
    <t>De Partijen zijn niet aansprakelijk voor een tekortkoming door een omstandigheid die niet te voorzien was en niet te wijten</t>
  </si>
  <si>
    <t>valt aan de schuld van beide of een der Partijen in de zin van art. 6:75 BW. Partijen stellen elkaar schriftelijk op de hoogte indien</t>
  </si>
  <si>
    <t>een dergelijke situatie, waarin nakoming van de overeenkomst in het gedrang komt, zich voordoet.</t>
  </si>
  <si>
    <t>Artikel 10: BELASTINGEN</t>
  </si>
  <si>
    <t>Alle bedragen en prijzen genoemd in deze overeenkomst, zijn bedragen exclusief belastingen.</t>
  </si>
  <si>
    <t>Artikel 11: INFORMATIEVERSTREKKING</t>
  </si>
  <si>
    <t>Partijen dienen elkaar alle mogelijke gegevens te verstrekken die benodigd zijn voor een deugdelijke uitvoering van de Opdracht.</t>
  </si>
  <si>
    <t>Ook dient de Opdrachtnemer er zorg voor te dragen om een melding te doen bij Postedworkers.nl</t>
  </si>
  <si>
    <t>Artikel 12: WANPRESTATIE</t>
  </si>
  <si>
    <t>Indien er sprake is van wanprestatie in de zin van art. 6:74 BW en nakoming van de overeenkomst niet blijvend onmogelijk is</t>
  </si>
  <si>
    <t>geworden, ontstaat voor Partijen de mogelijkheid de wederpartij in gebreke te stellen ten behoeve van een juiste uitvoering van</t>
  </si>
  <si>
    <t>de overeenkomst.</t>
  </si>
  <si>
    <t>Mocht de ingebrekestelling per aangetekende post of e-mail met ontvangstbevestiging binnen redelijke termijn zonder gevolg</t>
  </si>
  <si>
    <t>blijven, dan behoudt de Partij die niet in gebreke is gesteld het recht de overeenkomst te beëindigen.</t>
  </si>
  <si>
    <t>Artikel 13: CONFORMITEIT OPDRACHT</t>
  </si>
  <si>
    <t>De werkzaamheden van de Opdrachtnemer en eindresultaten hieruit voortvloeiend, dienen conform de overeenkomst te zijn.</t>
  </si>
  <si>
    <t>Artikel 14: VERTROUWELIJKHEID</t>
  </si>
  <si>
    <t>De Opdrachtnemer verklaart vertrouwelijk en verantwoordelijk met informatie van de Opdrachtgever of zijn klanten om te gaan.</t>
  </si>
  <si>
    <t>Het is de Opdrachtnemer verboden deze informatie buiten het kader van de uitvoering van de overeenkomst te verspreiden.</t>
  </si>
  <si>
    <t>Indien de Opdrachtnemer zich niet aan dit artikel houdt, kan van de Opdrachtnemer een schadevergoeding worden geëist in</t>
  </si>
  <si>
    <t>overeenstemming met de еrnst van de schending van dit artikel.</t>
  </si>
  <si>
    <t>De plicht tot geheimhouding omtrent informatie met vertrouwelijke strekking blijft naar redelijkheid ook van toepassing na</t>
  </si>
  <si>
    <t>beëindiging van deze overeenkomst.</t>
  </si>
  <si>
    <t>Artikel 15: GEVOLGEN VAN NIETIGHEID OF VERNIETIGBAARHEID</t>
  </si>
  <si>
    <t>Ingeval een bepaling in deze overeenkomst wordt vernietigd of nietig wordt verklaard, dan geldt deze vernietiging of</t>
  </si>
  <si>
    <t>nietigheid enkel voor de betreffende bepaling. Andere bepalingen in deze overeenkomst blijven onverlet.</t>
  </si>
  <si>
    <t>Artikel 16: VOLLEDIGHEID OVEREENKOMST</t>
  </si>
  <si>
    <t>Deze overeenkomst vervangt alle eerder overeengekomen afspraken en overeenkomsten tussen de Partijen met betrekking</t>
  </si>
  <si>
    <t>tot de Opdracht.</t>
  </si>
  <si>
    <t>Artikel 17: AFSTAND</t>
  </si>
  <si>
    <t>Indien de Partijen geen gevolg geven aan de uitvoering van de bepalingen uit deze overeenkomst, is dit uitdrukkelijk geenszins</t>
  </si>
  <si>
    <t>te beschouwen als een verklaring van afstand van de toepassing van deze bepalingen. De overeenkomst blijft onverkort</t>
  </si>
  <si>
    <t>van toepassing.</t>
  </si>
  <si>
    <t>Artikel 18: SCHRIFTELIJKHEID</t>
  </si>
  <si>
    <t>Iedere wijziging, opzegging, beëindiging of onenigheid met betrekking tot deze overeenkomst dient schriftelijk te geschieden.</t>
  </si>
  <si>
    <t>Artikel 19: TOEPASSELIJK RECHT</t>
  </si>
  <si>
    <t>Op deze overeenkomst is het Nederlands recht van toepassing.</t>
  </si>
  <si>
    <t>Artikel 20: ONDERTEKENING</t>
  </si>
  <si>
    <t>Aldus overeengekomen en in tweevoud opgemaakt en ondertekend:</t>
  </si>
  <si>
    <t>(Handtekening Opdrachtgever)</t>
  </si>
  <si>
    <t>(Handtekening Opdrachtnemer)</t>
  </si>
  <si>
    <t>INTERN REGLEMENT VOOR CHAUFFEURS</t>
  </si>
  <si>
    <t>Artikel 1: Algemeen</t>
  </si>
  <si>
    <t>Dit reglement is van toepassing op alle chauffeurs die werkzaamheden verrichten voor het bedrijf, zowel in dienstverband</t>
  </si>
  <si>
    <t>als ZZP. Het naleven van deze regels is verplicht. Overtredingen kunnen leiden tot sancties, inhoudingen of beëindiging</t>
  </si>
  <si>
    <t>van samenwerking.</t>
  </si>
  <si>
    <t>Artikel 2: Documenten en voertuigcontrole</t>
  </si>
  <si>
    <t>1. De chauffeur is verantwoordelijk voor het controleren van alle benodigde voertuigdocumenten vóór vertrek:</t>
  </si>
  <si>
    <t>■ Verzekering</t>
  </si>
  <si>
    <t>■ NIWO-vergunning</t>
  </si>
  <si>
    <t>■ Kentekenbewijs</t>
  </si>
  <si>
    <t>■ APK</t>
  </si>
  <si>
    <t>2. Het voertuig mag niet worden gebruikt als bovenstaande documenten ontbreken.</t>
  </si>
  <si>
    <t>Artikel 3: Veiligheid en verplicht materiaal</t>
  </si>
  <si>
    <t>1. Het dragen van veiligheidsschoenen en veiligheidsvest is verplicht.</t>
  </si>
  <si>
    <t>2. Digitale tachograafkaarten mogen niet in de vrachtwagen worden achtergelaten.</t>
  </si>
  <si>
    <t>3. Brandstofkaarten mogen niet in de vrachtwagen blijven liggen en er mogen geen pincode(s) op de kaarten geschreven worden.</t>
  </si>
  <si>
    <t>4. Remorque/trailers mogen niet zonder brandstof worden achtergelaten en moeten altijd op slot worden gezet.</t>
  </si>
  <si>
    <t>5. AdBlue moet tijdig worden bijgevuld.</t>
  </si>
  <si>
    <t>Artikel 4: Brandstof en registratie</t>
  </si>
  <si>
    <t>1. Bij het tanken moet altijd de kentekeninformatie en kilometerstand worden geregistreerd.</t>
  </si>
  <si>
    <t>2. Het Belgische systeem Gabriëls mag niet worden uitgeschakeld.</t>
  </si>
  <si>
    <t>Artikel 5: Aankoppelen / Afkoppelen trailers</t>
  </si>
  <si>
    <t>1. Bij het aan- of afkoppelen van een trailer moeten foto’s gemaakt worden:</t>
  </si>
  <si>
    <t>■ Van het voertuig en trailer</t>
  </si>
  <si>
    <t>■ Eventuele zichtbare schade</t>
  </si>
  <si>
    <t>■ De locatie van afkoppeling</t>
  </si>
  <si>
    <t>2. Indien van voertuig wordt gewisseld, eveneens foto’s maken.</t>
  </si>
  <si>
    <t>Artikel 6: Rapportage en communicatie</t>
  </si>
  <si>
    <t>1. Vertragingen van meer dan 15 minuten moeten direct worden doorgegeven.</t>
  </si>
  <si>
    <t>2. Gebruik van App2Track en boordcomputers is verplicht.</t>
  </si>
  <si>
    <t>3. Verschillen in geplande tijden moeten altijd worden verklaard op de manifesten (reden + aantal minuten).</t>
  </si>
  <si>
    <t>4. VERS-temp moet altijd worden ingevuld volgens het manifest.</t>
  </si>
  <si>
    <t>5. Opdrachten moeten altijd worden bevestigd.</t>
  </si>
  <si>
    <t>Artikel 7: Onderhoud en storingen</t>
  </si>
  <si>
    <t>1. Elke vrijdag moet een foto van de boordcomputer worden verstuurd met foutmeldingen en technische defecten.</t>
  </si>
  <si>
    <t>2. Het is verboden het filiaal te verlaten als er opmerkingen op de manifestlijst staan.</t>
  </si>
  <si>
    <t>3. Banden van truck en trailer moeten regelmatig worden gecontroleerd op bandenspanning.</t>
  </si>
  <si>
    <t>4. Dagstaten en urenlijsten moeten direct na afloop van de dienst worden ingeleverd.</t>
  </si>
  <si>
    <t>Artikel 8: Laden en lossen</t>
  </si>
  <si>
    <t>1. Voor het laden moet worden gecontroleerd:</t>
  </si>
  <si>
    <t>■ Werking koelunit</t>
  </si>
  <si>
    <t>■ Koelpomp (klep)</t>
  </si>
  <si>
    <t>■ Bekabeling</t>
  </si>
  <si>
    <t>2. Gebruik balken, geen spanbanden.</t>
  </si>
  <si>
    <t>3. Kabels moeten opgehaald en binnen opgeborgen worden, niet buiten laten hangen.</t>
  </si>
  <si>
    <t>4. Rema-stekker moet correct worden aangesloten – verkeerd aansluiten kan brand veroorzaken!</t>
  </si>
  <si>
    <t>Artikel 9: Noodgevallen / Startproblemen</t>
  </si>
  <si>
    <t>1. Bij startproblemen mag nooit stroom worden gegeven via de ABS-kabel (risico computerschade!).</t>
  </si>
  <si>
    <t>2. Alleen gebruikmaken van startkabels + massakabel (Harrison/Rema).</t>
  </si>
  <si>
    <t>Artikel 10: Netheid en sleutelbeheer</t>
  </si>
  <si>
    <t>1. De cabine moet schoon en verzorgd worden gehouden.</t>
  </si>
  <si>
    <t>2. De sleutel van de vrachtwagen blijft altijd op de vaste locatie van het depot (of op de spatbordhouder) en mag niet</t>
  </si>
  <si>
    <t>meegenomen worden naar huis.</t>
  </si>
  <si>
    <t>Artikel 11: Eigen goederen in de cabine</t>
  </si>
  <si>
    <t>1. Producten van Plus, Albert Heijn, Jumbo of Aldi (eten/drinken/water) moeten altijd een kassabon hebben, anders is de chauffeur</t>
  </si>
  <si>
    <t>volledig verantwoordelijk bij controle.</t>
  </si>
  <si>
    <t>Artikel 12: Overnachting en pauzes</t>
  </si>
  <si>
    <t>1. Overnachten op het terrein van Albert Heijn Pijnacker is verboden.</t>
  </si>
  <si>
    <t>2. Overnachten in de vrachtwagen tijdens de 45-uur rustperiode is verboden.</t>
  </si>
  <si>
    <t>Artikel 13: Vakantie of afwezigheid</t>
  </si>
  <si>
    <t>Bij vakantie of andere afwezigheid moet de chauffeur voor vertrek de volgende foto’s inleveren:</t>
  </si>
  <si>
    <t>■ 5 foto’s van de truck (vier kanten buiten + cabine)</t>
  </si>
  <si>
    <t>■ Foto van aanwezige gereedschappen (hamer, kabels, etc.)</t>
  </si>
  <si>
    <t>■ Foto van brandstofkaarten + bedrijfspas/badge</t>
  </si>
  <si>
    <t>Artikel 14: Einde werkdag</t>
  </si>
  <si>
    <t>Aan het eind van elke dag moet vóór het verwijderen van de kaart een foto worden verzonden van:</t>
  </si>
  <si>
    <t>■ Kilometerstand</t>
  </si>
  <si>
    <t>■ Werkuren</t>
  </si>
  <si>
    <t>■ Gemiddelde snelheid</t>
  </si>
  <si>
    <t>■ Brandstofverbruik</t>
  </si>
  <si>
    <t>Bij verbruik &lt; 25L/100 km ontvangt chauffeur €1 bonus.</t>
  </si>
  <si>
    <t>Artikel 15: Contact buiten werktijden</t>
  </si>
  <si>
    <t>Bij urgente situaties: tussen 17:30 – 07:30 uur en in het weekend altijd telefonisch contact opnemen als er geen</t>
  </si>
  <si>
    <t>reactie komt in de groep.</t>
  </si>
  <si>
    <t>Artikel 16: Routes</t>
  </si>
  <si>
    <t>Gebruik correcte routes volgens opdrachtgevers:</t>
  </si>
  <si>
    <t>■ AH routes:</t>
  </si>
  <si>
    <r>
      <rPr>
        <rFont val="Calibri"/>
        <color rgb="FF1155CC"/>
        <sz val="9.0"/>
        <u/>
      </rPr>
      <t>https://dc-routes.nl/</t>
    </r>
  </si>
  <si>
    <t>■ JUMBO routes:</t>
  </si>
  <si>
    <r>
      <rPr>
        <rFont val="Calibri"/>
        <color rgb="FF1155CC"/>
        <sz val="9.0"/>
        <u/>
      </rPr>
      <t>https://routeboek-prd-we-driver.azurewebsites.net/</t>
    </r>
  </si>
  <si>
    <t>■ PLUS routes:</t>
  </si>
  <si>
    <r>
      <rPr>
        <rFont val="Calibri"/>
        <color rgb="FF1155CC"/>
        <sz val="9.0"/>
        <u/>
      </rPr>
      <t>https://www.werkenbijplus.nl/PlusRoutes/StoreList.aspx</t>
    </r>
  </si>
  <si>
    <t>Afwijken van route = verantwoordelijkheid van chauffeur.</t>
  </si>
  <si>
    <t>Artikel 17: Regels voor ZZP-chauffeurs</t>
  </si>
  <si>
    <t>1. Betaling vindt plaats op woensdag.</t>
  </si>
  <si>
    <t>2. Uren moeten uiterlijk dinsdag zijn ingediend. Te laat = uitbetaling week later.</t>
  </si>
  <si>
    <t>3. Bij vertrek of einde samenwerking wordt één factuur 6 weken vastgehouden i.v.m. boetes.</t>
  </si>
  <si>
    <t>4. Bij problemen met betaling van Braven: eerst zelf contact opnemen, daarna assistentie mogelijk.</t>
  </si>
  <si>
    <t>Artikel 18: ONDERTEKENING</t>
  </si>
  <si>
    <t>DENIS EXPRESS B.V. - ВЪТРЕШЕН ПРАВИЛНИК ЗА ШОФЬОРИ</t>
  </si>
  <si>
    <t>Тези разпоредби се отнасят за всички шофьори, работещи за компанията, както наети, така и самонаети.</t>
  </si>
  <si>
    <t>Настоящият правилник съдържа задължителни инструкции за безопасна, коректна и професионална работа на всички</t>
  </si>
  <si>
    <t>шофьори. Спазването на правилата е задължително. Неспазването води до санкции и дисциплинарни последици.</t>
  </si>
  <si>
    <t>1. Документи и задължения преди тръгване</t>
  </si>
  <si>
    <t>Всеки шофьор е длъжен преди започване на курса да извърши проверка на автомобила и документите.</t>
  </si>
  <si>
    <t>Задължително се проверяват и носят:</t>
  </si>
  <si>
    <t>● Verzekering (застраховка)</t>
  </si>
  <si>
    <t>● Лиценз NIWO</t>
  </si>
  <si>
    <t>● Kentekenbewijs (талон)</t>
  </si>
  <si>
    <t>● APK (технически преглед)</t>
  </si>
  <si>
    <t>● Лична шофьорска карта</t>
  </si>
  <si>
    <t>● Валидна лична карта или паспорт</t>
  </si>
  <si>
    <t>Други задължения преди потегляне:</t>
  </si>
  <si>
    <t>● Високи защитни обувки и светлоотразителна жилетка</t>
  </si>
  <si>
    <t>● Проверка на налягането на гумите, светлини и техническа изправност</t>
  </si>
  <si>
    <t>● Забранява се потегляне при наличие на забележки в манифеста без потвърждение от диспечер</t>
  </si>
  <si>
    <t>2. Карти, ключове и оборудване</t>
  </si>
  <si>
    <t>Дигиталните тахографски карти не се оставят в камиона</t>
  </si>
  <si>
    <t>Горивните карти не се оставят в камиона</t>
  </si>
  <si>
    <t>PIN кодовете не се пишат върху картите</t>
  </si>
  <si>
    <t>Карти, баджове и документи не се предоставят на трети лица</t>
  </si>
  <si>
    <t>Ключът за камиона не се взима у дома и се оставя на определеното място в депото</t>
  </si>
  <si>
    <t>3. Камион и ремарке</t>
  </si>
  <si>
    <t>Ремаркетата не се оставят без гориво и се заключват</t>
  </si>
  <si>
    <t>Зарежда се редовно AdBlue</t>
  </si>
  <si>
    <t>При закачане или разкачане на ремарке се правят снимки за щети и местоположение</t>
  </si>
  <si>
    <t>При смяна на камион се прави снимков доклад</t>
  </si>
  <si>
    <t>Кабелите не се оставят навън, прибират се в кабината</t>
  </si>
  <si>
    <t>Особено внимание при поставяне на Rema кабела, неправилно поставяне води до късо съединение</t>
  </si>
  <si>
    <t>Забранено е подаване на ток с ABS кабел</t>
  </si>
  <si>
    <t>Разрешено е подаване на ток само с кабели за ток и клеп кабел (Harrison–Rema)</t>
  </si>
  <si>
    <t>4. Зареждане на гориво и AdBlue</t>
  </si>
  <si>
    <t>При всяко зареждане се записват номер на камиона и текущите километри</t>
  </si>
  <si>
    <t>Горивните карти се използват само служебно</t>
  </si>
  <si>
    <t>Резервоарът не се оставя под една четвърт гориво</t>
  </si>
  <si>
    <t>AdBlue се зарежда навреме</t>
  </si>
  <si>
    <t>Ремаркетата не се оставят без дизелово гориво</t>
  </si>
  <si>
    <t>5. Бордови системи и документи</t>
  </si>
  <si>
    <t>Използването на App2Track и бордовия компютър е задължително</t>
  </si>
  <si>
    <t>Получените задачи се потвърждават в системата</t>
  </si>
  <si>
    <t>Закъснения над 15 минути се съобщават незабавно</t>
  </si>
  <si>
    <t>При разминавания в манифеста се попълва причина и закъснение в минути</t>
  </si>
  <si>
    <t>VERS температура се попълва коректно</t>
  </si>
  <si>
    <t>6. Товарене и безопасност</t>
  </si>
  <si>
    <t>Преди товарене се проверяват koelmotor, клеп и кабели</t>
  </si>
  <si>
    <t>Използват се балкове, не колани</t>
  </si>
  <si>
    <t>Белгийската машинка Gabriels не се изключва</t>
  </si>
  <si>
    <t>Всеки товар се обезопасява правилно</t>
  </si>
  <si>
    <t>7. Докладване и снимки</t>
  </si>
  <si>
    <t>Снимки при всяко закачане или разкачане на ремарке</t>
  </si>
  <si>
    <t>Всеки петък се изпраща снимка на бордовия компютър за грешки</t>
  </si>
  <si>
    <t>Всяка неизправност се съобщава незабавно</t>
  </si>
  <si>
    <t>В края на смяната се предават dagstaten и всички листи</t>
  </si>
  <si>
    <t>В края на деня се изпраща снимка на:</t>
  </si>
  <si>
    <t>- изминати километри</t>
  </si>
  <si>
    <t>- работни часове</t>
  </si>
  <si>
    <t>- средна скорост</t>
  </si>
  <si>
    <t>- разход на гориво</t>
  </si>
  <si>
    <t>Разход на гориво под 25 на 100 километра носи бонус плюс 1 евро</t>
  </si>
  <si>
    <t>8. Комуникация</t>
  </si>
  <si>
    <t>Проблеми и закъснения се съобщават незабавно на диспечер или офис</t>
  </si>
  <si>
    <t>В извънработно време между 17:30 и 07:30, както и събота и неделя при липса на отговор в групата се обаждате по телефона</t>
  </si>
  <si>
    <t>При въпроси за маршрути, междинни точки или локации се търси съдействие</t>
  </si>
  <si>
    <t>При отклонение от маршрута без разрешение отговорността е на шофьора</t>
  </si>
  <si>
    <t>9. Забрани</t>
  </si>
  <si>
    <t>Строго забранено:</t>
  </si>
  <si>
    <t>● Спане в камион по време на 45 часова пауза е забранено</t>
  </si>
  <si>
    <t>● Нощуване на територията на Albert Heijn Pijnacker е забранено</t>
  </si>
  <si>
    <t>● Изключването на Gabriels е забранено</t>
  </si>
  <si>
    <t>● Оставяне на карти или ключове в камиона е забранено</t>
  </si>
  <si>
    <t>● Оставяне на ремарке незаключено е забранено</t>
  </si>
  <si>
    <t>● Записване на PIN код върху карта е забранено</t>
  </si>
  <si>
    <t>● Пушене в камиона е забранено</t>
  </si>
  <si>
    <t>● Неспазване на утвърдения маршрут е забранено</t>
  </si>
  <si>
    <t>● Кабината се поддържа чиста</t>
  </si>
  <si>
    <t>При проверки всички лични продукти в кабината трябва да имат касов бон, при липса отговорността е на шофьора</t>
  </si>
  <si>
    <t>10. Отпуски и отсъствия</t>
  </si>
  <si>
    <t>Преди отпуск/отсъствие се изпраща:</t>
  </si>
  <si>
    <t>● 5 снимки на камиона, четири външни и една вътрешна</t>
  </si>
  <si>
    <t>● снимка на наличните инструменти</t>
  </si>
  <si>
    <t>● снимка на горивните карти и чип или бадж</t>
  </si>
  <si>
    <t>11. ZZP плащания</t>
  </si>
  <si>
    <t>● Изплащанията са всяка сряда</t>
  </si>
  <si>
    <t>● Часовете се изпращат до вторник</t>
  </si>
  <si>
    <t>● Закъснели часове се изплащат през следващата седмица</t>
  </si>
  <si>
    <t>● При напускане една фактура се задържа шест седмици за покриване на евентуални глоби</t>
  </si>
  <si>
    <t>12. Маршрути</t>
  </si>
  <si>
    <t>AH Route:</t>
  </si>
  <si>
    <r>
      <rPr>
        <rFont val="Calibri, sans-serif"/>
        <color rgb="FF1155CC"/>
        <sz val="9.0"/>
        <u/>
      </rPr>
      <t>https://dc-routes.nl/</t>
    </r>
  </si>
  <si>
    <t>JUMBO Route:</t>
  </si>
  <si>
    <r>
      <rPr>
        <rFont val="Calibri, sans-serif"/>
        <color rgb="FF1155CC"/>
        <sz val="9.0"/>
        <u/>
      </rPr>
      <t>https://routeboek-prd-we-driver.azurewebsites.net/</t>
    </r>
  </si>
  <si>
    <t>PLUS Route:</t>
  </si>
  <si>
    <r>
      <rPr>
        <rFont val="Calibri, sans-serif"/>
        <color rgb="FF1155CC"/>
        <sz val="9.0"/>
        <u/>
      </rPr>
      <t>https://www.werkenbijplus.nl/PlusRoutes/StoreList.aspx</t>
    </r>
  </si>
  <si>
    <t>13. Санкции и финансова отговорност</t>
  </si>
  <si>
    <t>Нарушаването на правилника води до дисциплинарни и или финансови санкции според тежестта на нарушението</t>
  </si>
  <si>
    <t>Дисциплинарни мерки</t>
  </si>
  <si>
    <t>● устно предупреждение</t>
  </si>
  <si>
    <t>● писмено предупреждение</t>
  </si>
  <si>
    <t>● временно отстраняване от работа</t>
  </si>
  <si>
    <t>● прекратяване на договора или сътрудничеството</t>
  </si>
  <si>
    <t>Финансова отговорност (глоби и удръжки)</t>
  </si>
  <si>
    <t>Нарушение</t>
  </si>
  <si>
    <t>Санкция</t>
  </si>
  <si>
    <t>неспазено предизвестие при напускане</t>
  </si>
  <si>
    <t>1500 евро</t>
  </si>
  <si>
    <t>Eigen risico при щета (самоучастие)</t>
  </si>
  <si>
    <t>оронване престижа на фирмата (скандали с клиенти, непристойно поведение,</t>
  </si>
  <si>
    <t>2500 евро</t>
  </si>
  <si>
    <t>агресия, обиди)</t>
  </si>
  <si>
    <t>оставяне на горивна карта или тахо карта в камиона</t>
  </si>
  <si>
    <t>150 евро</t>
  </si>
  <si>
    <t>загубен ключ, бадж или горивна карта</t>
  </si>
  <si>
    <t>250 евро</t>
  </si>
  <si>
    <t>неправилно използване на Rema кабел водещо до късо съединение</t>
  </si>
  <si>
    <t>пълна стойност на ремонта</t>
  </si>
  <si>
    <t>подаване на ток с ABS кабел</t>
  </si>
  <si>
    <t>оставено ремарке без заключване или без гориво</t>
  </si>
  <si>
    <t>непредадени документи като dagstaten и листи</t>
  </si>
  <si>
    <t>50 евро на ден</t>
  </si>
  <si>
    <t>неспазване на маршрут или загуба на товар</t>
  </si>
  <si>
    <t>пълна отговорност</t>
  </si>
  <si>
    <t>глоби от полиция и институции за скорост, тахограф и други са за сметка на шофьора</t>
  </si>
  <si>
    <t>14. Потвърждение</t>
  </si>
  <si>
    <t>С подписа си удостоверявам, че съм запознат или запозната с правилника и се задължавам да го спазвам</t>
  </si>
  <si>
    <t>Така договорено, съставено и подписано в два екземпляра:</t>
  </si>
  <si>
    <t>(Подпис Изпълнител)</t>
  </si>
  <si>
    <t>DENIS EXPRESS B.V. – INTERNAL DRIVER REGULATIONS</t>
  </si>
  <si>
    <t>These provisions apply to all drivers working for the company, both employees and self-employed contractors.</t>
  </si>
  <si>
    <t>This regulation contains mandatory instructions for the safe, correct, and professional performance of all drivers’ duties.</t>
  </si>
  <si>
    <t>Compliance with these rules is obligatory. Non-compliance will result in disciplinary and/or financial sanctions.</t>
  </si>
  <si>
    <t>1. Documents and Obligations Before Departure</t>
  </si>
  <si>
    <t>Every driver must check the vehicle and required documents before starting a route.</t>
  </si>
  <si>
    <t>The following must be verified and carried:</t>
  </si>
  <si>
    <t>● Insurance (Verzekering)</t>
  </si>
  <si>
    <t>● NIWO Licence</t>
  </si>
  <si>
    <t>● Registration Certificate (Kentekenbewijs)</t>
  </si>
  <si>
    <t>● APK (Technical Inspection Certificate)</t>
  </si>
  <si>
    <t>● Driver licence</t>
  </si>
  <si>
    <t>● Valid ID card or passport</t>
  </si>
  <si>
    <t>Other pre-departure requirements:</t>
  </si>
  <si>
    <t>● Wearing high protective shoes and a reflective safety vest is mandatory.</t>
  </si>
  <si>
    <t>● Check tire pressure, lights, and overall technical condition.</t>
  </si>
  <si>
    <t>● Departure is not allowed if remarks are noted on the manifest without dispatcher confirmation.</t>
  </si>
  <si>
    <t>2. Cards, Keys, and Equipment</t>
  </si>
  <si>
    <t>Digital tachograph cards must not be left in the truck.</t>
  </si>
  <si>
    <t>Fuel cards must not be left in the truck</t>
  </si>
  <si>
    <t>PIN codes must not be written on the cards.</t>
  </si>
  <si>
    <t>Cards, badges, and documents must not be given to third parties.</t>
  </si>
  <si>
    <t>Truck keys must not be taken home — they must be left in the designated place at the depot.</t>
  </si>
  <si>
    <t>3. Truck and Trailer</t>
  </si>
  <si>
    <r>
      <rPr>
        <rFont val="Calibri, sans-serif"/>
        <color theme="1"/>
        <sz val="9.0"/>
      </rPr>
      <t xml:space="preserve">Trailers must never be left without </t>
    </r>
    <r>
      <rPr>
        <rFont val="Calibri, sans-serif"/>
        <b/>
        <color theme="1"/>
        <sz val="9.0"/>
      </rPr>
      <t xml:space="preserve">fuel </t>
    </r>
    <r>
      <rPr>
        <rFont val="Calibri, sans-serif"/>
        <color theme="1"/>
        <sz val="9.0"/>
      </rPr>
      <t xml:space="preserve">and must always be </t>
    </r>
    <r>
      <rPr>
        <rFont val="Calibri, sans-serif"/>
        <b/>
        <color theme="1"/>
        <sz val="9.0"/>
      </rPr>
      <t>locked</t>
    </r>
  </si>
  <si>
    <r>
      <rPr>
        <rFont val="Calibri, sans-serif"/>
        <b/>
        <color theme="1"/>
        <sz val="9.0"/>
      </rPr>
      <t xml:space="preserve">AdBlue </t>
    </r>
    <r>
      <rPr>
        <rFont val="Calibri, sans-serif"/>
        <color theme="1"/>
        <sz val="9.0"/>
      </rPr>
      <t>must be refilled regularly</t>
    </r>
  </si>
  <si>
    <t>When coupling or uncoupling a trailer, take photos showing damages and the location</t>
  </si>
  <si>
    <t>When changing trucks, a photographic report must be made</t>
  </si>
  <si>
    <t>Cables must be stored inside the cabin and not left outside</t>
  </si>
  <si>
    <t>Pay special attention when connecting the Rema cable – incorrect connection can cause a short circuit</t>
  </si>
  <si>
    <t>Jump-starting with the ABS cable is forbidden</t>
  </si>
  <si>
    <t>Jump-starting is only allowed using power cables and the clamp cable (Harrison–Rema)</t>
  </si>
  <si>
    <t>4. Refueling and AdBlue</t>
  </si>
  <si>
    <t>For every refueling, record the truck number and current kilometers.</t>
  </si>
  <si>
    <t>Fuel cards are for company use only.</t>
  </si>
  <si>
    <t>Do not leave the tank below one-quarter full.</t>
  </si>
  <si>
    <t>AdBlue must be topped up on time.</t>
  </si>
  <si>
    <t>Trailers must not be left without diesel fuel.</t>
  </si>
  <si>
    <t>5. On-board Systems and Documentation</t>
  </si>
  <si>
    <t>Use of App2Track and the on-board computer is mandatory.</t>
  </si>
  <si>
    <t>All received assignments must be confirmed in the system.</t>
  </si>
  <si>
    <t>Delays exceeding 15 minutes must be reported immediately.</t>
  </si>
  <si>
    <t>When there is a discrepancy in the manifest, the reason and delay (in minutes) must be recorded.</t>
  </si>
  <si>
    <t>The VERS temperature must always be filled in correctly.</t>
  </si>
  <si>
    <t>6. Loading and Safety</t>
  </si>
  <si>
    <t>Before loading, check the cooling engine (koelmotor), clamp, and cables.</t>
  </si>
  <si>
    <t>Use load bars, not straps.</t>
  </si>
  <si>
    <t>The Belgian Gabriels device must never be switched off.</t>
  </si>
  <si>
    <t>Every load must be properly secured.</t>
  </si>
  <si>
    <t>Photos must be taken at every trailer coupling or uncoupling.</t>
  </si>
  <si>
    <t>Every Friday, a photo of the truck’s on-board computer errors must be sent.</t>
  </si>
  <si>
    <t>All malfunctions must be reported immediately.</t>
  </si>
  <si>
    <t>At the end of the shift, all dagstaten and lists must be submitted.</t>
  </si>
  <si>
    <t>At the end of the workday, send a photo showing:</t>
  </si>
  <si>
    <t>- total kilometers</t>
  </si>
  <si>
    <t>- working hours</t>
  </si>
  <si>
    <t>- average speed</t>
  </si>
  <si>
    <t>- fuel consumption</t>
  </si>
  <si>
    <t>Fuel consumption below 25L/100km earns a €1 bonus</t>
  </si>
  <si>
    <t>8. Communication</t>
  </si>
  <si>
    <t>Problems and delays must be reported immediately to the dispatcher or office.</t>
  </si>
  <si>
    <t>Outside office hours (17:30–07:30) and on weekends, if no reply is received in the group chat, call by phone.</t>
  </si>
  <si>
    <t>For route, waypoint, or location issues, contact the office for assistance</t>
  </si>
  <si>
    <t>Deviation from the assigned route without authorization is the driver’s responsibility.</t>
  </si>
  <si>
    <t>9. Prohibitions</t>
  </si>
  <si>
    <t>Strictly forbidden:</t>
  </si>
  <si>
    <t>● Sleeping in the truck during the 45-hour rest period</t>
  </si>
  <si>
    <t>● Overnight stay on Albert Heijn Pijnacker premises</t>
  </si>
  <si>
    <t>● Switching off the Gabriels device</t>
  </si>
  <si>
    <t>● Leaving cards or keys inside the truck</t>
  </si>
  <si>
    <t>● Leaving trailers unlocked</t>
  </si>
  <si>
    <t>● Writing PIN codes on cards</t>
  </si>
  <si>
    <t>● Smoking in the truck</t>
  </si>
  <si>
    <t>● Failing to follow the approved route</t>
  </si>
  <si>
    <t>● The cabin must always be kept clean</t>
  </si>
  <si>
    <t>During inspections, all personal items (food, drinks, etc.) inside the cabin must have a store receipt; otherwise, the driver bears full responsibility.</t>
  </si>
  <si>
    <t>10. Leave and Absences</t>
  </si>
  <si>
    <t>Before any vacation or absence, the driver must send:</t>
  </si>
  <si>
    <t>● 5 photos of the truck (4 exterior + 1 interior)</t>
  </si>
  <si>
    <t>● Photo of the available tools (hammer, cables, scissors, etc.)</t>
  </si>
  <si>
    <t>● Photo of fuel cards and badge/chip</t>
  </si>
  <si>
    <t>11. ZZP Payments</t>
  </si>
  <si>
    <t>● Payments are made every Wednesday</t>
  </si>
  <si>
    <t>● Hours must be submitted by Tuesday</t>
  </si>
  <si>
    <t>● Late-submitted hours are paid the following week</t>
  </si>
  <si>
    <t>● Upon termination, one invoice is held for 6 weeks to cover potential fines</t>
  </si>
  <si>
    <r>
      <rPr>
        <rFont val="Calibri, sans-serif"/>
        <color rgb="FF1155CC"/>
        <sz val="9.0"/>
        <u/>
      </rPr>
      <t>https://dc-routes.nl/</t>
    </r>
  </si>
  <si>
    <r>
      <rPr>
        <rFont val="Calibri, sans-serif"/>
        <color rgb="FF1155CC"/>
        <sz val="9.0"/>
        <u/>
      </rPr>
      <t>https://routeboek-prd-we-driver.azurewebsites.net/</t>
    </r>
  </si>
  <si>
    <r>
      <rPr>
        <rFont val="Calibri, sans-serif"/>
        <color rgb="FF1155CC"/>
        <sz val="9.0"/>
        <u/>
      </rPr>
      <t>https://www.werkenbijplus.nl/PlusRoutes/StoreList.aspx</t>
    </r>
  </si>
  <si>
    <t>13. Sanctions and Financial Responsibility</t>
  </si>
  <si>
    <t>Violation of these regulations may lead to disciplinary and/or financial sanctions depending on the severity.</t>
  </si>
  <si>
    <t>Disciplinary measures:</t>
  </si>
  <si>
    <t>● Verbal warning</t>
  </si>
  <si>
    <t>● Written warning</t>
  </si>
  <si>
    <t>● Temporary suspension</t>
  </si>
  <si>
    <t>● Termination of employment or cooperation</t>
  </si>
  <si>
    <t>Financial liability (fines and deductions):</t>
  </si>
  <si>
    <t>Violation</t>
  </si>
  <si>
    <t>Penalty</t>
  </si>
  <si>
    <t>Leaving employment without notice</t>
  </si>
  <si>
    <t>Insurance deductible for damages (Eigen risico)</t>
  </si>
  <si>
    <t>Damage to company reputation (misconduct, client conflicts, aggression, offensive behaviour)</t>
  </si>
  <si>
    <t>Leaving a fuel or tachograph card in the truck</t>
  </si>
  <si>
    <t>Lost key, badge, or fuel card</t>
  </si>
  <si>
    <t>Incorrect use of Rema cable causing a short circuit</t>
  </si>
  <si>
    <t>Full repair cost</t>
  </si>
  <si>
    <t>Using ABS cable for jump-starting</t>
  </si>
  <si>
    <t>Leaving trailer unlocked or without fuel</t>
  </si>
  <si>
    <t>Failure to submit daily registers or documents</t>
  </si>
  <si>
    <t xml:space="preserve">Route violation or loss of load        </t>
  </si>
  <si>
    <t>Full liability</t>
  </si>
  <si>
    <t>Fines from police or authorities (speeding, tachograph, etc.)</t>
  </si>
  <si>
    <t>Paid by driver</t>
  </si>
  <si>
    <t>14. Acknowledgement</t>
  </si>
  <si>
    <t>By signing below, I confirm that I have read and understood these regulations and agree to comply with them.</t>
  </si>
  <si>
    <t>Signed in duplicate on:</t>
  </si>
  <si>
    <t>Date</t>
  </si>
  <si>
    <t>Driver’s Signature</t>
  </si>
  <si>
    <t>BEËINDIGING ARBEIDSOVEREENKOMST</t>
  </si>
  <si>
    <t>Betreft:</t>
  </si>
  <si>
    <t>Beëindiging Arbeidsovereenkomst</t>
  </si>
  <si>
    <t>Wij bedanken u voor uw inzet en wensen u veel succes voor het vinden van een nieuwe baan.</t>
  </si>
  <si>
    <t>Hopende u hierbij voldoende te hebben geïnformeerd.</t>
  </si>
  <si>
    <t>Met vriendelijke groet,</t>
  </si>
  <si>
    <t>ZELF ONTSLAG</t>
  </si>
  <si>
    <t>Zelf ontslag</t>
  </si>
  <si>
    <t>BEVESTIGING ONBETAALD VERLOF</t>
  </si>
  <si>
    <t>Tijdens uw verlof zult u geen werkgerelateerde taken uitvoeren. U dient de voorwaarden voor het opnemen van onbetaald verlof te volgen, zoals beschreven in ons personeelsreglement.</t>
  </si>
  <si>
    <t>Wij begrijpen dat deze situatie voor u belangrijk is. Wij hopen dat het verlof u de tijd en ruimte zal geven om te doen wat u nodig heeft en dat alles goed zal verlopen.</t>
  </si>
  <si>
    <t>Als u nog vragen heeft over het onbetaald verlof of de voorwaarden die daarvoor gelden, aarzel dan niet om contact op te nemen met onze HR-afdeling.</t>
  </si>
  <si>
    <t>Addendum arbeidsovereenkomst</t>
  </si>
  <si>
    <t>Ondergetekenden:</t>
  </si>
  <si>
    <t>Naam bedrijf:</t>
  </si>
  <si>
    <t>Rechtsgeldig vertegenwoordigd door:</t>
  </si>
  <si>
    <t>Postcode en vestigingsplaats:</t>
  </si>
  <si>
    <t>Hierna te noemen: werkgever,</t>
  </si>
  <si>
    <t>en</t>
  </si>
  <si>
    <t>Naam werknemer:</t>
  </si>
  <si>
    <t>Postcode en woonplaats:</t>
  </si>
  <si>
    <t>Geboortedatum:</t>
  </si>
  <si>
    <t>Hierna te noemen: werknemer,</t>
  </si>
  <si>
    <t>Overwegende:</t>
  </si>
  <si>
    <t>- dat partijen het wenselijk achten om deze nadere afspraken schriftelijk vast te leggen in dit addendum.</t>
  </si>
  <si>
    <t>Verklaren hierbij te zijn overeengekomen als volgt:</t>
  </si>
  <si>
    <t>1. In aanvulling en/of afwijking op de arbeidsovereenkomst komen partijen overeen dat</t>
  </si>
  <si>
    <t>2. Dit addendum zal aan de geldende arbeidsovereenkomst worden gehecht en maakt - na ondertekening onlosmakelijk onderdeel uit van de arbeidsovereenkomst.</t>
  </si>
  <si>
    <t>3. De overige bepalingen, zoals opgenomen in de arbeidsovereenkomst, blijven onverkort van toepassing.</t>
  </si>
  <si>
    <t>Werknemer</t>
  </si>
  <si>
    <t>___________________</t>
  </si>
  <si>
    <t>_________________</t>
  </si>
  <si>
    <t>Vervoermanagement overeenkomst</t>
  </si>
  <si>
    <t>komen overeen als volgt:</t>
  </si>
  <si>
    <t>Artikel 1</t>
  </si>
  <si>
    <t>b. Onder het voeren van management wordt verstaan het leidinggeven aan de vervoersactiviteiten in de meest ruime zin van het woord.</t>
  </si>
  <si>
    <t>Het takenpakket betreft onder meer, maar is niet beperkt tot, de volgende werkzaamheden:</t>
  </si>
  <si>
    <t>- Aanschaf en beheer materieel;</t>
  </si>
  <si>
    <t>- Calculatie en vaststelling vrachtprijs;</t>
  </si>
  <si>
    <t>- Werkverdeling;</t>
  </si>
  <si>
    <t>- Debiteuren/crediteurenbewaking;</t>
  </si>
  <si>
    <t>- Aanname/ontslag personeel;</t>
  </si>
  <si>
    <t>- Klachtenafhandeling.</t>
  </si>
  <si>
    <t>Artikel 2</t>
  </si>
  <si>
    <t>b. De opzegging dient schriftelijk te geschieden.</t>
  </si>
  <si>
    <t>c. Ieder van partijen is gerechtigd deze overeenkomst met onmiddellijke ingang, zonder ingebrekestelling of gerechtelijke tussenkomst, op te zeggen indien:</t>
  </si>
  <si>
    <t>- Opdrachtgever of de Vervoersmanager surseance van betaling aanvraagt, in faillissement treedt of in liquidatie treedt;</t>
  </si>
  <si>
    <t>- Opdrachtgever of de Vervoersmanager of diens werknemer(s) die betrokken zijn bij de uitvoering van deze overeenkomst strafrechtelijk wordt/worden vervolgd;</t>
  </si>
  <si>
    <t>- de zeggenschap over opdrachtgever of de Vervoersmanager wijzigt als gevolg van aandeelhouderswisselingen.</t>
  </si>
  <si>
    <t>Artikel 3</t>
  </si>
  <si>
    <t>Partijen hebben zich ervan vergewist dat heffing van loonbelasting en werknemersverzekeringspremies ter zake van de uit te betalen managementvergoeding achterwege kan blijven.</t>
  </si>
  <si>
    <t>Artikel 4</t>
  </si>
  <si>
    <t>De Vervoersmanager verplicht zich alles te doen c.q. na te laten wat een goed manager behoort te doen c.q. na te laten, en zich volledig in te zetten om de belangen van opdrachtgever te bevorderen.</t>
  </si>
  <si>
    <t>Artikel 5</t>
  </si>
  <si>
    <t>Opdrachtgever zal de Vervoersmanager vrijwaren voor eventuele aanspraken van derden voor zover die aanspraken betrekking hebben op of verband houden met de werkzaamheden die de Vervoersmanager binnen de onderneming van opdrachtgever vervult of heeft vervuld.</t>
  </si>
  <si>
    <t>Artikel 6</t>
  </si>
  <si>
    <t>De Vervoersmanager is verplicht tot volstrekte geheimhouding, ook na het einde van deze overeenkomst, van al hetgeen hem uit hoofde van zijn functie binnen de onderneming van opdrachtgever in de ruimste zin bekend is of zal worden, voor zover door de bekendmaking van die wetenschap de belangen van opdrachtgever kunnen worden geschaad.</t>
  </si>
  <si>
    <t xml:space="preserve">Opdrachtgever </t>
  </si>
  <si>
    <t>De Vervoersmanager</t>
  </si>
  <si>
    <t>…………………………..</t>
  </si>
  <si>
    <t>Inleenovereenkomst</t>
  </si>
  <si>
    <t>De Uitlener / Uitzendonderneming</t>
  </si>
  <si>
    <t>Naam</t>
  </si>
  <si>
    <t>Contactpersoon</t>
  </si>
  <si>
    <t>BTW nummer</t>
  </si>
  <si>
    <t>KvK Nummer</t>
  </si>
  <si>
    <t>E-mail</t>
  </si>
  <si>
    <t>Telefoon</t>
  </si>
  <si>
    <t>De Inlener / Transport Onderneming</t>
  </si>
  <si>
    <t>in aanmerking nemende:</t>
  </si>
  <si>
    <t>●</t>
  </si>
  <si>
    <t>dat Inlener een transportonderneming exploiteert;</t>
  </si>
  <si>
    <t>dat Uitlener een instelling als bedoeld in artikel 13 lid 2 sub b Regeling Wegvervoer Goederen exploiteert;</t>
  </si>
  <si>
    <t>dat Inlener in dat kader nu en in de toekomst mogelijk overeenkomsten wenst aan te gaan met Uitlener, bestaande uit het door Uitlener aan Inlener ter beschikking stellen van zelfstandige chauffeurs;</t>
  </si>
  <si>
    <t>dat Uitlener bereid is opdrachten aan te nemen en uit te voeren ten behoeve van het bedrijf van Inlener;</t>
  </si>
  <si>
    <t>dat Partijen overeen zijn gekomen zich uitsluitend te verbinden op basis van een overeenkomst van opdracht in de zin van artikel 7:400 BW en aanverwante wetgeving;</t>
  </si>
  <si>
    <t>dat Partijen uitdrukkelijk overeenkomen geen arbeidsovereenkomst aan te gaan in de zin van artikel 7:610 BW en aanverwante wetgeving;</t>
  </si>
  <si>
    <t>dat partijen de afspraken die steeds van toepassing zullen zijn bij (de uitvoering van) deze overeenkomst(en) willen vastleggen in deze overeenkomst, welke gezien dient te warden als raamovereenkomst voor de huidige en toekomstige overeenkomst( en).</t>
  </si>
  <si>
    <t>De individuele overeenkomsten die tot stand komen tussen Inlener en Uitlener en de lopende overeenkomst(en) zullen steeds worden beheerst door de volgende voorwaarden:</t>
  </si>
  <si>
    <t>1. Toepassing van de Juiste Arbeidsvoorwaarden door de Uitlener</t>
  </si>
  <si>
    <t>Deze raamovereenkomst met bijlagen is steeds van toepassing op alle door partijen nader te sluiten overeenkomsten terzake het door Uitlener aan Inlener beschikbaar stellen van chauffeurs, ook zonder enige verwijzing daarnaar in de door Inlener geplaatste opdrachten c.q. de eventueel door Uitlener verstrekte opdrachtbevestigingen.</t>
  </si>
  <si>
    <t>De Uitlener is verantwoordelijk voor het toepassen van de juiste arbeidsvoorwaarden voor de geleverde uitzendkrachten (chauffeurs). De volgende arbeidsvoorwaarden zijn van toepassing:</t>
  </si>
  <si>
    <r>
      <rPr>
        <rFont val="Arial"/>
        <b/>
        <color rgb="FF000000"/>
        <sz val="9.0"/>
      </rPr>
      <t>Salaris en Vergoedingen</t>
    </r>
    <r>
      <rPr>
        <rFont val="Arial"/>
        <color rgb="FF000000"/>
        <sz val="9.0"/>
      </rPr>
      <t>: De uitzendkracht ontvangt ten minste het wettelijke minimumloon of de caobepalingen
 die van toepassing zijn binnen de sector en voor de specifieke functie (zoals de cao voor het
 Bedrijfsgoederenvervoer).</t>
    </r>
  </si>
  <si>
    <r>
      <rPr>
        <rFont val="Arial"/>
        <b/>
        <color rgb="FF000000"/>
        <sz val="9.0"/>
      </rPr>
      <t>Werktijden en Rusttijden</t>
    </r>
    <r>
      <rPr>
        <rFont val="Arial"/>
        <color rgb="FF000000"/>
        <sz val="9.0"/>
      </rPr>
      <t>: De werktijden, pauzes en rusttijden worden overeenkomstig de geldende
 wetgeving en CAO Bedrijfsgoederenvervoer vastgesteld.</t>
    </r>
  </si>
  <si>
    <r>
      <rPr>
        <rFont val="Arial"/>
        <b/>
        <color rgb="FF000000"/>
        <sz val="9.0"/>
      </rPr>
      <t>Verlofregelingen</t>
    </r>
    <r>
      <rPr>
        <rFont val="Arial"/>
        <color rgb="FF000000"/>
        <sz val="9.0"/>
      </rPr>
      <t>: De uitzendkracht heeft recht op vakantiedagen, ziekteverlof en andere vergoedingen
 zoals voorgeschreven in de wet en CAO Bedrijfsgoederenvervoer.</t>
    </r>
  </si>
  <si>
    <r>
      <rPr>
        <rFont val="Arial"/>
        <b/>
        <color rgb="FF000000"/>
        <sz val="9.0"/>
      </rPr>
      <t>Pensioenregeling</t>
    </r>
    <r>
      <rPr>
        <rFont val="Arial"/>
        <color rgb="FF000000"/>
        <sz val="9.0"/>
      </rPr>
      <t>: De uitzendkracht wordt opgenomen in een pensioenregeling zoals bepaald door de wet
 en de CAO Bedrijfsgoederenvervoer.</t>
    </r>
  </si>
  <si>
    <r>
      <rPr>
        <rFont val="Arial"/>
        <color rgb="FF000000"/>
        <sz val="9.0"/>
      </rPr>
      <t xml:space="preserve">De Uitlener zal de uitzendkracht informeren over zijn </t>
    </r>
    <r>
      <rPr>
        <rFont val="Arial"/>
        <b/>
        <color rgb="FF000000"/>
        <sz val="9.0"/>
      </rPr>
      <t>rechten en verplichtingen</t>
    </r>
    <r>
      <rPr>
        <rFont val="Arial"/>
        <color rgb="FF000000"/>
        <sz val="9.0"/>
      </rPr>
      <t xml:space="preserve"> volgens de geldende
 arbeidswetgeving en cao.</t>
    </r>
  </si>
  <si>
    <t>2. Algemeen</t>
  </si>
  <si>
    <t>1.</t>
  </si>
  <si>
    <t>Inlener kan Uitlener verzoeken te bemiddelen in het ter beschikking stellen van chauffeurs aan Inlener, voor door Inlener te bepalen chauffeurswerkzaamheden en voor een door Inlener te bepalen periode.</t>
  </si>
  <si>
    <t>2.</t>
  </si>
  <si>
    <t>Inlener is verplicht Uitlener te voorzien van alle informatie die Uitlener nodig heeft om de aangenomen opdracht goed te kunnen uitvoeren.</t>
  </si>
  <si>
    <t>3.</t>
  </si>
  <si>
    <t>Met betrekking tot de uit te voeren werkzaamheden zal door partijen steeds een deelovereenkomst worden gesloten. In deze deelovereenkomst kan het volgende warden vastgelegd:</t>
  </si>
  <si>
    <t>Omschrijving van de uit te voeren werkzaamheden;</t>
  </si>
  <si>
    <t>Noodzakelijke kwalificaties en eventueel gewenste kwalificaties van het in te zetten personeel;</t>
  </si>
  <si>
    <t>Startdatum en verwachte einddatum;</t>
  </si>
  <si>
    <t>Het geschatte aantal uren dat de opdracht zal duren;</t>
  </si>
  <si>
    <t>Plaats van uitvoering;</t>
  </si>
  <si>
    <t>Prijsstelling en/of bijzonderheden.</t>
  </si>
  <si>
    <t>4.</t>
  </si>
  <si>
    <t>Uitlener zal met de aan haar ter beschikking gestelde informatie op zoek gaan naar een geschikte (zelfstandige) chauffeur, om deze vervolgens met Inlener in contact te brengen. Inlener en de chauffeur maken vervolgens afspraken over de uit te voeren werkzaamheden, alsmede de daaraan verbonden voorwaarden en tarieven.</t>
  </si>
  <si>
    <t>3. Opdracht</t>
  </si>
  <si>
    <t>Inlener en Uitlener verklaren dat de overeenkomsten zijn/worden aangegaan als een overeenkomst van opdracht. Het bepaalde in de artikelen 7:400 e.v. Burgerlijk Wetboek is op deze overeenkomsten van toepassing, indien daarvan in deze overeenkomst niet is afgeweken.</t>
  </si>
  <si>
    <t>Partijen verklaren uitdrukkelijk dat zij op geen enkel wijze hebben beoogd dat er een arbeidsovereenkomst in de zin van artikel 7:610 BW en aanverwante wetgeving wordt aangegaan. Uitlener fungeert louter als bemiddelaar tussen Inlener en een zelfstandige chauffeur die voor eigen rekening en risico chauffeurswerkzaamheden zal gaan verrichten.</t>
  </si>
  <si>
    <t>Partijen verbinden zich als Inlener en Uitlener tegenover elkaar te gedragen.</t>
  </si>
  <si>
    <t>Het is Uitlener niet toegestaan deze opdracht (gedeeltelijk) uit te besteden aan een of meer andere Inleners, behalve in het geval dat Inlener hiervoor vooraf uitdrukkelijke schriftelijke toestemming heeft verleend. Uitlener is verplicht te zorgen dat een uitbesteding steeds geschiedt onder dezelfde voorwaarden als tussen Inlener en Uitlener gelden.</t>
  </si>
  <si>
    <t>4. Vergoeding</t>
  </si>
  <si>
    <t>Voor de te verrichten werkzaamheden zal Inlener aan Uitlener een vergoeding verschuldigd zijn. Deze vergoeding bestaat uit de vergoeding die de zelfstandige chauffeur, na dit als zodanig te hebben afgesproken, aan de Inlener in rekening wenst te brengen te vermeerderen met een nader te bepalen additionele vergoeding voor de diensten van Uitlener.</t>
  </si>
  <si>
    <t>Uitlener is verplicht om de vergoeding voor de opdracht aan Inlener te melden op het moment dat Uitlener de opdracht aan Inlener aanbiedt. Deze vergoeding zal in een overeenkomst/bevestigingsformulier warden vastgelegd.</t>
  </si>
  <si>
    <t>5. Facturering</t>
  </si>
  <si>
    <t>De vergoeding zal wekelijks door Uitlener aan Inlener met een gespecificeerde factuur in rekening worden gebracht.</t>
  </si>
  <si>
    <t>Aan de door Uitlener ingediende factuur dient een bon te zijn gehecht die door Inlener voor akkoord is getekend en waaruit blijkt dat door de Inlener is geconstateerd dat de gefactureerde prestatie is geleverd. Op elke factuur dient het werk- en overeenkomst/opdrachtnummer te worden vermeld. Aan de factuur dienen ook bijbehorende urenregistratie toegevoegd te worden. In het urenregister moet in ieder geval worden vermeld: de volledige naam van de persoon, het aantal uren gewerkt, de dag en het tijdstip waarop de uren zijn gewerkt.</t>
  </si>
  <si>
    <t>Indien de factuur voldoet aan de gestelde eisen en Uitlener heeft alle opgevraagde informatie en stukken verstrekt, zal betaling van de factuur door Inlener plaatsvinden binnen 14 dagen na factuurdatum.</t>
  </si>
  <si>
    <t>De betalingen moeten geschieden in gangbare Nederlandse munt (Euro) op een door Uitlener aan te geven bankrekening.</t>
  </si>
  <si>
    <t>5.</t>
  </si>
  <si>
    <t>6. Instructierecht Inlener</t>
  </si>
  <si>
    <t>Inlener is, in het kader van deze overeenkomst, gerechtigd de chauffeur rechtstreekse opdrachten en instructies te geven.</t>
  </si>
  <si>
    <t>7. Identiteit</t>
  </si>
  <si>
    <t>Uitlener verplicht zich van alle chauffeurs en ingeschakelde hulppersonen de identiteit op voorgeschreven wijze vast te stellen en een kopie van een geldig en origineel identiteitsbewijs te maken en te bewaren. Daarnaast dient Uitlener van de chauffeurs die niet de Nederlandse identiteit bezitten - een afschrift van een origineel verblijfsstatus en originele tewerkstellingsvergunning van deze personen te maken en te bewaren. Uitlener controleert de echtheid van het origineel identiteitsbewijs en of deze persoon gerechtigd is om in Nederland te werken.</t>
  </si>
  <si>
    <t>Inlener is zelf ook verantwoordelijk voor het controleren van het origineel Identiteitsbewijs op echtheid en controleert zelf of het identiteitsbewijs, de originele verblijfsstatus en originele tewerkstellingsvergunning aan de betreffende persoon toebehoort.</t>
  </si>
  <si>
    <t>Uitlener verplicht de chauffeurs om steeds bij de uitvoering van de werkzaamheden een origineel identiteitsbewijs mee te nemen naar Inlener, die Inlener op verzoek kan controleren.</t>
  </si>
  <si>
    <t>Uitlener verstrekt voor aanvang van de werkzaamheden een afschrift van een geldig identiteitsbewijs van de personen die de werkzaamheden in het kader van deze overeenkomst van opdracht gaan verrichten en die niet uit de Europese Economische Ruimte (EER) komen.</t>
  </si>
  <si>
    <t>8. Zelfstandigen zonder personeel (ZZP)</t>
  </si>
  <si>
    <t>Inlener is er mee bekend dat de chauffeurs die hij via Uitlener ter beschikking krijgt gesteld zzp-ers zijn en geen dienstverband met Uitlener hebben.</t>
  </si>
  <si>
    <t>Inlener vrijwaart Uitlener van iedere vorm van aansprakelijkheid jegens haar vanwege de inzet van deze chauffeurs.</t>
  </si>
  <si>
    <t>9. Aangewezen instelling</t>
  </si>
  <si>
    <t>Uitlener is verplicht te beschikken over een door KIWA Register afgegeven geldige aanwijzingsbeschikking voor het uitzenden van chauffeurs in het beroepsgoederenvervoer.</t>
  </si>
  <si>
    <t>Ten bewijze daarvan dient Uitlener aan Inlener een kopie te verstrekken van de tussen Uitlener en chauffeur opgestelde (model) verklaring van terbeschikkingstelling.</t>
  </si>
  <si>
    <t>Uitlener is verplicht om op eerste verzoek van Inlener te bewijzen dat zij beschikt over een door KIWA Register afgegeven geldige aanwijzingsbeschikking.</t>
  </si>
  <si>
    <t>Indien en zodra Uitlener niet meer beschikt over een geldige aanwijzingsbeschikking of de certificering is opgeschort, is zij verplicht dit onmiddellijk te melden aan Inlener.</t>
  </si>
  <si>
    <t>10. Duur en tussentijdse beëindiging</t>
  </si>
  <si>
    <t>Deze raamovereenkomst gaat in op de datum van ondertekening en geldt voor onbepaalde tijd. Ook de lopende overeenkomsten worden per direct beheerst door de inhoud van deze raamovereenkomst. De raamovereenkomst kan te allen tijde schriftelijk worden opgezegd. Beide partijen zijn bevoegd de overeenkomst op te zeggen tegen het eind van elke maand met inachtneming van een opzegtermijn van 28 dagen, tenzij de redelijkheid en billijkheid zich hiertegen verzet. Enkel in gezamenlijk overleg kan een eerdere beëindigingsdatum overeengekomen worden. De raamovereenkomst blijft van toepassing op individuele overeenkomsten die voor het einde van deze raamovereenkomst zijn aangegaan.</t>
  </si>
  <si>
    <t>Elke partij kan deze raamovereenkomst en/of een of meer individuele overeenkomsten direct (zonder dat rechterlijke tussenkomst en/of ingebrekestelling zijn vereist) (gedeeltelijk) beëindigen, zonder dat hij tot enige schadevergoeding is gehouden:</t>
  </si>
  <si>
    <t>Bij niet nakoming door de wederpartij van enige verplichting uit deze overeenkomst of een individuele overeenkomst, tenzij de wederpartij binnen zeven dagen alsnog de overeenkomst nakomt;</t>
  </si>
  <si>
    <t>Bij faillissement van de wederpartij, wanneer de wederpartij surseance van betaling aanvraagt of wanneer er beslag op haar goederen wordt gelegd;</t>
  </si>
  <si>
    <t>Indien de wederpartij toepassing van de wettelijke regeling van schuldsanering aanvraagt, de wederpartij onder curatele of (een gedeelte van) zijn vermogen onder bewind wordt gesteld of bij boedelafstand door de wederpartij;</t>
  </si>
  <si>
    <t>Bij handelingen in strijd met de wet- of regelgeving door een van de Partijen.</t>
  </si>
  <si>
    <t>Uitlener is altijd bevoegd om de individuele overeenkomst(en) te beëindigen indien een chauffeur die de opdracht bij Inlener uitvoert niet (voldoende) functioneert of zich niet houdt aan de verstrekte opdracht.</t>
  </si>
  <si>
    <t>11. Wijzigingen van en aanvullingen op de overeenkomst</t>
  </si>
  <si>
    <t>Wijzigingen van en aanvullingen op deze overeenkomst zijn slechts geldig na schriftelijke vastlegging en ondertekening door partijen.</t>
  </si>
  <si>
    <t>Indien een of meerdere bepalingen van deze overeenkomst nietig zijn (verklaard) of hun rechtsgeldigheid hebben verloren, zullen de overige bepalingen van deze overeenkomst van kracht blijven voor zover deze bepalingen niet zinledig zijn geworden.</t>
  </si>
  <si>
    <t>Indien zich na ondertekening van de overeenkomst wijzigingen voordoen in wetgeving of regelgeving van dwingendrechtelijke aard en indien een en ander consequenties heeft voor de inhoud en/of uitvoering van de overeenkomst, zullen partijen andere afspraken met elkaar maken en daarbij zo dicht mogelijk bij de inhoud van de oorspronkelijke bedoelingen van partijen blijven.</t>
  </si>
  <si>
    <t>12. Aansprakelijkheid</t>
  </si>
  <si>
    <t>De aansprakelijkheid van de Partijen is beperkt tot het door zijn aansprakelijkheidsverzekering uitgekeerde bedrag, verhoogd met het eigen risico. Ingeval er geen uitkering plaatsvindt is de aansprakelijkheid tot schadevergoeding beperkt tot een bedrag van €1.500 (duizend vijfhonderd euro).</t>
  </si>
  <si>
    <t>Uitlener is verplicht de nodige verzekeringen af te sluiten die zijn aansprakelijkheidsrisico's voldoende dekken.</t>
  </si>
  <si>
    <t>Uitlener kan niet aansprakelijk worden gehouden voor indirecte schade, waaronder gederfde winst, gevolgschade en schade door bedrijfsstagnatie.</t>
  </si>
  <si>
    <t>Uitlener kan niet aansprakelijk worden gehouden door derden met betrekking tot rechten van intellectuele eigendom op door Inlener verstrekte zaken ten behoeve van de uitvoering van de opdracht.</t>
  </si>
  <si>
    <t>Inlener is aansprakelijk ingeval Uitlener schade leidt door een gevaar bij het uitoefenen van de opdracht, mits dit gevaar niet behoort tot de normale risico's van de bedrijfsuitoefening van de onderneming van Uitlener en het gevaar niet is meegewogen in de hoogte van de vergoeding.</t>
  </si>
  <si>
    <t>6.</t>
  </si>
  <si>
    <t>Partijen zijn niet aansprakelijk voor een tekortkoming door een omstandigheid die niet te voorzien was en niet te wijten valt aan de schuld van beide of een der Partijen in de zin van art. 6:75 BW. Partijen stellen elkaar schriftelijk op de hoogte indien een dergelijke situatie, waarin nakoming van de overeenkomst in het gedrang komt, zich voordoet.</t>
  </si>
  <si>
    <t>13. Wanprestatie, vernietiging en nietigheid</t>
  </si>
  <si>
    <t>Indien er sprake is van wanprestatie in de zin van art. 6:74 BW en nakoming van de overeenkomst niet blijvend onmogelijk is geworden, ontstaat voor Partijen de mogelijkheid de wederpartij in gebreke te stellen ten behoeve van een juiste uitvoering van de overeenkomst.</t>
  </si>
  <si>
    <t>Macht de ingebrekestelling per aangetekende post of e-mail met ontvangstbevestiging binnen redelijke termijn zonder gevolg blijven, dan behoudt de Partij die niet in gebreke is gesteld het recht de overeenkomst te beëindigen.</t>
  </si>
  <si>
    <t>Ingeval een bepaling in deze overeenkomst wordt vernietigd of nietig wordt verklaard, dan geldt deze vernietiging of nietigheid enkel voor de betreffende bepaling. Andere bepalingen in deze overeenkomst blijven onverlet.</t>
  </si>
  <si>
    <t>14. Meewerken aan Loonvalidatie door de Inlener</t>
  </si>
  <si>
    <t>De Uitlener zal volledige medewerking verlenen aan een loonvalidatie die wordt uitgevoerd door een inspectieinstelling, aangewezen door de Inlener. De loonvalidatie is bedoeld om te waarborgen dat de afgesproken lonen en arbeidsvoorwaarden correct worden nageleefd.</t>
  </si>
  <si>
    <t>De Uitlener zal alle gevraagde gegevens verstrekken en toegang verlenen tot relevante documenten en gegevens om de validatie te ondersteunen, en dit zonder onterecht verweer.</t>
  </si>
  <si>
    <t>15. Behandeling van Klachten over Arbeidsvoorwaarden</t>
  </si>
  <si>
    <t>Bij klachten over de arbeidsvoorwaarden die de uitzendkracht ervaart, zal de Uitlener de volgende procedure hanteren:</t>
  </si>
  <si>
    <r>
      <rPr>
        <rFont val="Arial"/>
        <b/>
        <color rgb="FF000000"/>
        <sz val="9.0"/>
      </rPr>
      <t>Meldingsprocedure</t>
    </r>
    <r>
      <rPr>
        <rFont val="Arial"/>
        <color rgb="FF000000"/>
        <sz val="9.0"/>
      </rPr>
      <t>: De uitzendkracht dient klachten over arbeidsvoorwaarden onmiddellijk schriftelijk in bij de Uitlener. De klacht wordt binnen 5 werkdagen door de Uitlener in behandeling genomen.</t>
    </r>
  </si>
  <si>
    <r>
      <rPr>
        <rFont val="Arial"/>
        <b/>
        <color rgb="FF000000"/>
        <sz val="9.0"/>
      </rPr>
      <t>Onderzoek en Oplossing</t>
    </r>
    <r>
      <rPr>
        <rFont val="Arial"/>
        <color rgb="FF000000"/>
        <sz val="9.0"/>
      </rPr>
      <t>: De Uitlener zal de klacht onderzoeken en proberen binnen een redelijke termijn (maximaal 10 werkdagen) tot een oplossing te komen.</t>
    </r>
  </si>
  <si>
    <r>
      <rPr>
        <rFont val="Arial"/>
        <b/>
        <color rgb="FF000000"/>
        <sz val="9.0"/>
      </rPr>
      <t>Escalatie</t>
    </r>
    <r>
      <rPr>
        <rFont val="Arial"/>
        <color rgb="FF000000"/>
        <sz val="9.0"/>
      </rPr>
      <t>: Indien de klacht niet naar tevredenheid wordt opgelost, kan de uitzendkracht de kwestie escaleren naar een bevoegde instantie, zoals de Arbeidsinspectie of een geschillencommissie die verantwoordelijk is voor de sectorale cao.</t>
    </r>
  </si>
  <si>
    <t>De Inlener wordt geïnformeerd over klachten en de voortgang van de procedure, en zal in overleg met de Uitlener naar een oplossing zoeken indien nodig.</t>
  </si>
  <si>
    <t>16. Kettingbeding (Doorlegging van Arbeidsvoorwaarden naar Lagere Schakels)</t>
  </si>
  <si>
    <t>De Uitlener is verplicht om de afgesproken arbeidsvoorwaarden door te leggen naar eventuele lagere schakels in de keten van uitlening. Dit houdt in dat:</t>
  </si>
  <si>
    <t>Indien de Uitlener de diensten van een andere uitzendorganisatie inschakelt voor de uitvoering van de werkzaamheden (zoals een ander uitzendbureau voor het leveren van chauffeurs), dan moet de Uitlener ervoor zorgen dat de arbeidsvoorwaarden die aan de uitzendkracht zijn toegekend, ook worden nageleefd door de volgende schakel in de keten.</t>
  </si>
  <si>
    <t>De Uitlener is verplicht om in de overeenkomst met een eventuele verdere uitlener (onderaannemer) vast te leggen dat de arbeidsvoorwaarden die in deze Overeenkomst zijn afgesproken, gelden voor die lagere schakel.</t>
  </si>
  <si>
    <t>Dit is een kettingbeding, wat betekent dat elke schakel in de keten verantwoordelijk is voor de naleving van de afgesproken arbeidsvoorwaarden, zelfs bij inschakeling van andere uitzendbedrijven.</t>
  </si>
  <si>
    <t>17. Meldplicht bij Inschakelen van Andere Ketenpartijen</t>
  </si>
  <si>
    <t>De Uitlener is verplicht om de Inlener onmiddellijk op de hoogte te stellen wanneer een andere ketenpartij (onderaannemer of uitzendbureau) wordt ingeschakeld voor de levering van diensten. Dit moet schriftelijk gebeuren, en de Uitlener dient het volgende te melden:</t>
  </si>
  <si>
    <t>De identiteit van de ingeschakelde ketenpartij;</t>
  </si>
  <si>
    <t>De periode en het aantal chauffeurs dat wordt geleverd;</t>
  </si>
  <si>
    <t>De specifieke arbeidsvoorwaarden die voor de chauffeurs van toepassing zijn;</t>
  </si>
  <si>
    <t>De Inlener heeft het recht om bezwaar te maken tegen de ingeschakelde ketenpartij indien deze niet voldoet aan de afgesproken voorwaarden.</t>
  </si>
  <si>
    <t>18. Maximale Aantal Ketenpartijen in de Ketenschakeling</t>
  </si>
  <si>
    <t>De Uitlener mag slechts een beperkt aantal ketenpartijen inschakelen, namelijk niet meer dan twee schakels beneden de oorspronkelijke Uitlener. Dit houdt in dat de Uitlener geen onderaannemers mag inschakelen via een keten van uitzendbedrijven die meer dan twee lagen diep is, tenzij dit uitdrukkelijk is goedgekeurd door de Inlener. De reden voor deze beperking is om de controle over de naleving van de arbeidsvoorwaarden te waarborgen en te voorkomen dat de uitzendkrachten in een onduidelijke of onveilige werkrelatie terechtkomen.</t>
  </si>
  <si>
    <t>19. Algemene voorwaarden</t>
  </si>
  <si>
    <t>Van deze overeenkomst maken de algemene voorwaarden van Uitlener deel uit. Deze zijn toegevoegd als bijlage aan de overeenkomst.</t>
  </si>
  <si>
    <t>De algemene voorwaarden zijn van toepassing voor zover hiervan niet is afgeweken in deze overeenkomst.</t>
  </si>
  <si>
    <t>Ondertekend:</t>
  </si>
  <si>
    <t>Handtekening</t>
  </si>
  <si>
    <t>Arbeidsovereenkomst bepaalde tijd – Planner Vervoer over de Weg</t>
  </si>
  <si>
    <t>1. De uitzendonderneming DeNeX Uitzendbureau B.V. gevestigd te Barendrecht aan de Gebroken Meeldijk 66, Unit 1.15 , 2991 VD, vertegenwoordigd door dhr. D.O. Ibryam , hierna te noemen: werkgever;</t>
  </si>
  <si>
    <t>2. mw. S.E. Fidanova, geboren op 09 juli 1986, wonende te Florastraat 49, 2672 HL NAALDWIJK, hierna te noemen: werknemer;</t>
  </si>
  <si>
    <t>verklaren het volgende te zijn overeengekomen:</t>
  </si>
  <si>
    <t>Artikel 1 – Duur van de overeenkomst</t>
  </si>
  <si>
    <t>Deze arbeidsovereenkomst wordt aangegaan voor bepaalde tijd, te weten 7 maanden, ingaande op 04 juni 2025 en eindigende van rechtswege op 03 januari 2026, zonder dat opzegging vereist is.</t>
  </si>
  <si>
    <t>Artikel 2 – Proeftijd</t>
  </si>
  <si>
    <t>Dit arbeidscontract is aangegaan met inachtneming van een wederzijdse proeftijd van 1 maand. Gedurende deze proeftijd kunnen beide partijen het arbeidscontract met directe ingang beëindigen. Een schriftelijke bevestiging hiervan is niet benodigd. De proeftijd is van toepassing indien een dienstverband voor een minimale duur van 12 maanden is aangegaan.</t>
  </si>
  <si>
    <t>Artikel 3 – Functie en werkzaamheden</t>
  </si>
  <si>
    <t>Werknemer treedt in dienst in de functie van Planner Vervoer over de Weg. Hij/Zij verricht alle werkzaamheden die in redelijkheid van hem/haar in deze functie mogen worden verwacht, alsmede alle andere werkzaamheden die door werkgever worden opgedragen en die verband houden met de onderneming.</t>
  </si>
  <si>
    <t>Artikel 4 – Arbeidsduur en werktijden</t>
  </si>
  <si>
    <t>De werknemer verricht zijn/haar werkzaamheden gedurende 40 uur per week , verdeeld over maandag t/m vrijdag. Werkgever behoudt zich het recht voor om de werktijden in overleg te wijzigen.</t>
  </si>
  <si>
    <t>Artikel 5 – Salaris</t>
  </si>
  <si>
    <t>Werknemer ontvangt een brutosalaris van € 17,79 per uur exclusief vakantiegeld en overige vergoedingen. Uitbetaling vindt plaats op of omstreeks de laatste werkdag van de maand.</t>
  </si>
  <si>
    <t>Artikel 6 – Vakantie en verlof</t>
  </si>
  <si>
    <t>Werknemer heeft recht op 24 dagen vakantiedagen per jaar op basis van fulltime dienstverband, met behoud van salaris.</t>
  </si>
  <si>
    <t>Artikel 7 – Ziekte en arbeidsongeschiktheid</t>
  </si>
  <si>
    <t>Bij ziekte of arbeidsongeschiktheid gelden de wettelijke regels en de toepasselijke bepalingen van het verzuimprotocol van werkgever.</t>
  </si>
  <si>
    <t>Artikel 8 – Geheimhouding</t>
  </si>
  <si>
    <t>Werknemer is verplicht tot geheimhouding van alle informatie betreffende de onderneming van de werkgever, zowel gedurende het dienstverband als na beëindiging daarvan.</t>
  </si>
  <si>
    <t>Artikel 9 – Concurrentie- en relatiebeding</t>
  </si>
  <si>
    <t>1. Zwaarwegend bedrijfsbelang</t>
  </si>
  <si>
    <t>Gezien de functie van werknemer als planner binnen de wegvervoerbranche, heeft werknemer structureel toegang tot strategische informatie van de werkgever. Deze informatie betreft onder andere klantgegevens, tarieven, operationele planningen, vervoersroutes, leveranciersafspraken en andere vertrouwelijke gegevens die essentieel zijn voor de concurrentiepositie van de werkgever.</t>
  </si>
  <si>
    <t>Vanwege de aard en inhoud van de functie is het risico groot dat kennis en relaties die tijdens het dienstverband zijn opgebouwd, na uitdiensttreding kunnen worden ingezet bij een concurrerende partij of bij zelfstandige activiteiten in dezelfde branche.</t>
  </si>
  <si>
    <t>De werkgever heeft derhalve een zwaarwegend bedrijfsbelang bij het beperken van de werknemer in het verrichten van concurrerende activiteiten na beëindiging van het dienstverband.</t>
  </si>
  <si>
    <t>2. Concurrentiebeding</t>
  </si>
  <si>
    <t>Het is de werknemer niet toegestaan om binnen een periode van drie (3) jaar na beëindiging van deze arbeidsovereenkomst, ongeacht de reden of wijze van beëindiging, direct of indirect werkzaamheden te verrichten voor, of betrokken te zijn bij een onderneming die zich bezighoudt met vervoer over de weg, indien die werkzaamheden (kunnen) leiden tot concurrentie met de werkgever, en wel binnen het werkgebied van de werkgever, zijnde Nederland en aangrenzende regio’s.</t>
  </si>
  <si>
    <t>3. Relatiebeding</t>
  </si>
  <si>
    <t>Het is de werknemer eveneens gedurende drie (3) jaar na beëindiging van de arbeidsovereenkomst verboden om, direct of indirect:</t>
  </si>
  <si>
    <t>• contact op te nemen met klanten, voormalige klanten of relaties van de werkgever met wie de werknemer in de laatste twee jaar van het dienstverband zakelijk contact heeft gehad, of waarvan de werknemer kennis heeft verkregen via zijn werkzaamheden;</t>
  </si>
  <si>
    <t>• diensten aan te bieden aan deze klanten of relaties;</t>
  </si>
  <si>
    <t>• op enige wijze zaken te doen met deze klanten of relaties, direct of via derden.</t>
  </si>
  <si>
    <t>4. Boetebeding</t>
  </si>
  <si>
    <t>Bij overtreding van een van de hierboven genoemde bedingen verbeurt de werknemer ten gunste van de werkgever, zonder dat enige ingebrekestelling vereist is:</t>
  </si>
  <si>
    <t>• een direct opeisbare boete van €10.000,- per overtreding, én</t>
  </si>
  <si>
    <t>• een boete van €500,- voor elke dag dat de overtreding voortduurt,</t>
  </si>
  <si>
    <t>onverminderd het recht van de werkgever om volledige schadevergoeding te vorderen.</t>
  </si>
  <si>
    <t>5. Onafhankelijkheid</t>
  </si>
  <si>
    <t>Dit artikel blijft van kracht na beëindiging van de arbeidsovereenkomst, ongeacht de wijze van beëindiging. De geldigheid van dit beding blijft bestaan, tenzij door de rechter anders wordt beslist.</t>
  </si>
  <si>
    <t>Artikel 10 – Toepasselijk recht en geschillen</t>
  </si>
  <si>
    <t>Werkgever</t>
  </si>
  <si>
    <t>Handtekening: ......................................</t>
  </si>
  <si>
    <t>Werknemer:</t>
  </si>
  <si>
    <t>Postcode /Plaats</t>
  </si>
  <si>
    <t>Geb.datum</t>
  </si>
  <si>
    <t>zijn het volgende overeengekomen:</t>
  </si>
  <si>
    <t>Artikel 1: Datum indiensttreding, functie en plaats werkzaamheden</t>
  </si>
  <si>
    <t>De bij deze functie behorende werkzaamheden bestaan uit: Het vervoeren van goederen over weg en voorts alle werkzaam­heden die redelijkerwijs van hem verlangd kunnen worden. De werkzaamheden worden uitgevoerd vanuit de vestiging van werkgever of opdrachtgevers van werkgever.</t>
  </si>
  <si>
    <t>Artikel 2: Proeftijd</t>
  </si>
  <si>
    <t>Artikel 3: Arbeidsduur, werktijden en overwerk</t>
  </si>
  <si>
    <t>Artikel 4: Salaris</t>
  </si>
  <si>
    <t>Artikel 5: Reiskostenvergoeding</t>
  </si>
  <si>
    <t>Artikel 6: Salaris bij arbeidsongeschiktheid en wachtdagen</t>
  </si>
  <si>
    <t>1. In geval van arbeidsongeschiktheid wegens ziekte, ongeval en dergelijke, zal werkgever, indien en zolang in die periode het dienstverband voortduurt, gedurende de eerste 104 weken van arbeidsongeschiktheid 70% van het brutoloon door­betalen, doch gedurende de eerste 52 weken ten minste het voor werknemer geldende ­minimumloon.</t>
  </si>
  <si>
    <t>2. Werknemer verklaart op de hoogte te zijn van en in te stemmen met de door werkgever vastgestelde voorschriften in verband met ziekmelding en controle.</t>
  </si>
  <si>
    <t>3. Wegens ziekte of arbeidsongeschiktheid heeft de werknemer gedurende de eerste dag van een ziekteperiode geen recht op loon. Dit geldt niet indien werknemer na het einde van een ziekteperiode binnen vier weken wederom ziek wordt.</t>
  </si>
  <si>
    <t>Artikel 7: Re-integratie na einde dienstverband</t>
  </si>
  <si>
    <t>- Werknemer is verplicht zich onmiddellijk ziek te melden bij werkgever conform de door werkgever vastgestelde voorschriften in verband met ziekmelding en controle als werknemer binnen 4 weken na het einde van de arbeidsovereenkomst ziek wordt en op dat moment niet werkzaam is bij een andere werkgever of een WW-uitkering ontvangt.</t>
  </si>
  <si>
    <t>- Als werknemer ziek is op het moment dat hij uit dienst gaat en/of als werknemer voldoet aan het bepaalde in lid 1 van dit artikel, dient werknemer zich te blijven houden aan de door werkgever of regelgeving vastgestelde voorschriften in verband met ziekmelding en controle.</t>
  </si>
  <si>
    <t>- Indien werknemer bovenstaande van de in dit artikel bepaalde overtreedt, verbeurt hij aan werkgever een direct opeisbare boete van 2.500,- voor iedere overtreding, alsmede een bedrag van 500,- voor iedere dag dat de overtreding voortduurt. De boete zal verschuldigd zijn door het enkele feit van de overtreding of niet-nakoming, maar laat onverminderd het recht om volledige schadevergoeding te vorderen. Deze boete is rechtsreeks verschuldigd aan werkgever en strekt deze tot voordeel. Hiermee wordt nadrukkelijk afgeweken van het bepaalde in artikel 7:650 leden 3 en 5 BW.</t>
  </si>
  <si>
    <t>Artikel 8: Vakantiedagen, ATV en vakantiebijslag</t>
  </si>
  <si>
    <t>Bij andere leeftijden gelden andere rechten, zie hiervoor artilkel 67a van het cao. Van de vakantiedagen mogen maximaal drie weken worden opgenomen in een aaneengesloten periode. ")Verlofdagen worden vastgesteld door de werkgever, na overleg met de werknemerVerlofdagen worden vastgesteld door de werkgever, na overleg met de werknemer. Werkgever is bevoegd maximaal 14 dagen per jaar als verplichte vakantiedagen aan te wijzen. Tevens is het mogelijk dat een periode (maximaal één maand) wordt aangewezen i.v.m. bedrijfssluiting. Deze wordt door werkgever als verplichte vakantie aangewezen. Deze vakantiedagen komen in mindering op het vakantietegoed.</t>
  </si>
  <si>
    <t>Artikel 9: Arbeids- en bedrijfsregels</t>
  </si>
  <si>
    <t>Werknemer verklaart op de hoogte te zijn van en in te stemmen met de bij werkgever geldende arbeids- en bedrijfsregels en een exemplaar van deze arbeids- en bedrijfsregels te hebben ontvangen.</t>
  </si>
  <si>
    <t>Artikel 10: Schadeclausule bij niet nakomen van verplichtingen</t>
  </si>
  <si>
    <t>Indien werknemer om wat voor reden dan ook de arbeidsovereenkomst c.q. de werkzaamheden eenzijdig beëindigt zonder hier werkgever van tevoren van op de hoogte te stellen of zich niet houdt aan de geldende opzegtermijn is werknemer schadeplichtig. In afwijking van art. 7:650 leden 3 en 5 BW zal werknemer in dat geval een onmiddellijk opeisbare tot voordeel van de werkgever strekkende boete verbeuren van € 250,00 ineens (welke direct al wordt ingehouden op het salaris van werknemer) onverminderd het recht van werkgever om in plaats van deze boete, schadevergoeding te vorderen. Eveneens staat de werknemer de inhouding van de schadevergoeding op het loon toe rekening houdend met WML.</t>
  </si>
  <si>
    <t>Artikel 11: Wijzigingen</t>
  </si>
  <si>
    <t>Werkgever behoudt zicht het recht voor om éénzijdig de arbeidsvoorwaarden te ­wijzigen, met inachtneming van hetgeen bepaald is in artikel 7:613 van het Burgerlijk Wetboek. Dit indien hij daarbij een zodanig zwaarwichtig belang heeft dat het belang van de werknemer dat door de wijziging wordt geschaad, daardoor naar maatstaven van redelijkheid en billijkheid moet wijken. Bij wijziging van fiscale regelgeving en/of fiscale besluiten waardoor een in deze overeenkomst genoemde fiscale faciliteit wordt gewijzigd, beperkt dan wel komt te vervallen zal de desbetreffende bepaling in deze overeenkomst overeenkomstig worden aangepast.</t>
  </si>
  <si>
    <t>Artikel 12: Geheimhoudingsbeding</t>
  </si>
  <si>
    <t>Werknemer zal zowel gedurende als na afloop van deze arbeidsovereenkomst strikte geheimhouding betrachten omtrent al hetgeen bij de uitoefening van zijn/haar functie te zijner kennis komt in verband met zaken en belangen van de onderneming van werkgever of een met haar gelieerde onderneming. Deze plicht tot geheimhouding omvat eveneens alle gegevens c.q. bijzonderheden van relaties en cliënten van werkgever, waarvan werknemer uit hoofde van zijn/haar functie kennisneemt.</t>
  </si>
  <si>
    <t>Artikel 13: Teruggavebeding</t>
  </si>
  <si>
    <t>Alle stukken en andere schriftelijke informatie en alle hard- en software die werknemer in het kader van zijn werkzaamheden heeft gebruikt en eigendom zijn van werkgever of welke werknemer in het kader van zijn werkzaamheden heeft vervaardigd, blijven/worden eigendom van werkgever. Werknemer dient deze bescheiden aan werkgever te retourneren indien werkgever daarom vraagt en/of indien deze arbeidsovereenkomst eindigt, zonder dat werknemer hiervan op enigerlei wijze een kopie mag behouden en/of aan derden mag verstrekken. Bij beëindiging van deze arbeidsovereenkomst is werknemer verplicht om alle door werkgever ter beschikking gestelde bedrijfseigendommen onmiddellijk aan werkgever terug te geven.</t>
  </si>
  <si>
    <t>Artikel 14: Gedragscode voor internet-, e-mail- en social media-gebruik</t>
  </si>
  <si>
    <t>Werkgever hanteert een gedragscode voor internet-, e-mail- en social media-gebruik waarin voorschriften zijn opgenomen ten aanzien van het internet- en e-mailgebruik en (zakelijk) gebruik van social media. Werknemer heeft een exemplaar van de gedragscode voor internet-, e-mail- en social media-gebruik ontvangen en verklaart zich door ondertekening van deze arbeidsovereenkomst akkoord met de inhoud van deze gedragscode.</t>
  </si>
  <si>
    <t>Artikel 15: Slotbepalingen</t>
  </si>
  <si>
    <t>Nederlands recht is van toepassing op deze arbeidsovereenkomst, alsmede op alle geschillen die samenhangen met of voortvloeien uit deze arbeidsovereenkomst. De van toepassing zijnde cao is Beroepsgoederenvervoer.</t>
  </si>
  <si>
    <t>UITZENDOVEREENKOMST FASE A</t>
  </si>
  <si>
    <t>Partijen:</t>
  </si>
  <si>
    <t>hierna te noemen :</t>
  </si>
  <si>
    <t>De medewerker:</t>
  </si>
  <si>
    <t>Partij nader te noemen</t>
  </si>
  <si>
    <t>ZIJN MET ELKAAR OVEREENGEKOMEN:</t>
  </si>
  <si>
    <t>Artikel 1:</t>
  </si>
  <si>
    <t>1.1.</t>
  </si>
  <si>
    <t>1.2.</t>
  </si>
  <si>
    <t>1.3.</t>
  </si>
  <si>
    <t>Proeftijd conform artikel 16 CAO ABU, dhr. N.V. Stoev kan de CAO ABU nalezen op www.ABU.nl.</t>
  </si>
  <si>
    <t>Artikel 2:</t>
  </si>
  <si>
    <t>CAO ABU</t>
  </si>
  <si>
    <t>Op deze arbeidsovereenkomst is tevens de Collectieve Arbeidsovereenkomst voor Uitzendkrachten (CAO ABU,</t>
  </si>
  <si>
    <r>
      <rPr>
        <rFont val="Calibri"/>
        <color rgb="FF1155CC"/>
        <sz val="11.0"/>
        <u/>
      </rPr>
      <t>https://www.abu.nl/app/uploads/2024/12/ABU-CAO-Uitzendkrachten-2024.pdf) van toepassing.</t>
    </r>
  </si>
  <si>
    <t>Artikel 3:</t>
  </si>
  <si>
    <t>Uitzendbeding</t>
  </si>
  <si>
    <t>3.1.</t>
  </si>
  <si>
    <t>Op deze uitzendovereenkomst is de bepaling ex artikel 7:691 lid 2 BW in combinatie met de artikelen 12 en 13 van de CAO ABU van toepassing. Dat betekent dat de uitzendovereenkomst van rechtswege eindigt doordat de terbeschikkingstelling van de uitzendkracht door de uitzendonderneming aan de opdrachtgever op verzoek van de opdrachtgever ten einde komt.</t>
  </si>
  <si>
    <t>3.2</t>
  </si>
  <si>
    <t>Indien fase A van toepassing is, wordt de arbeidsovereenkomst als beëindigd beschouwd ingeval van ziekte of ongeval. Als moment voor de beëindiging geldt alsdan de datum van ziekmelding bij de opdrachtgever en/of de werkgever.</t>
  </si>
  <si>
    <t>Artikel 4:</t>
  </si>
  <si>
    <t>Loon, inhouding en vergoedingen</t>
  </si>
  <si>
    <t>Bij beëindiging van de arbeidsovereenkomst wordt gedurende zes weken een bedrag van € 500,- van het uit te betalen salaris ingehouden als voorzorgsmaatregel tegen eventuele boetes of sancties die aan de werkgever te laat zijn bereikent.</t>
  </si>
  <si>
    <t>Overige afspraken</t>
  </si>
  <si>
    <t>▪</t>
  </si>
  <si>
    <t>Werknemer heeft recht op 10,92% vakantiedagentoeslag</t>
  </si>
  <si>
    <t>8,33% vakantietoeslag over de gewerkte uren;</t>
  </si>
  <si>
    <t>Opzegtermijn volgens CAO ABU;</t>
  </si>
  <si>
    <t>Opbouw feestdagen volgens CAO ABU;</t>
  </si>
  <si>
    <t>Pensioen volgens CAO ABU;</t>
  </si>
  <si>
    <t>Kort verzuim volgens CAO ABU;</t>
  </si>
  <si>
    <t>Werkgever betaalt volledig de wettelijke bijdrage ziektekosten (bijtelling werknemer);</t>
  </si>
  <si>
    <t>Werkgever houdt de overuren bij en betaalt uit tijdens vakantie tegen gewerkte uurtarief.</t>
  </si>
  <si>
    <t>Artikel 5:</t>
  </si>
  <si>
    <t>clausule ‘Vangnetter’</t>
  </si>
  <si>
    <t>5.1.</t>
  </si>
  <si>
    <t>De werknemer die binnen 4 weken na het einde van het dienstverband ziek wordt, en op dat moment niet werkzaam is bij een andere werkgever of een WW-uitkering geniet, meldt zich onmiddellijk ziek bij werkgever conform de bij werkgever geldende regels omtrent ziekmeldingen;</t>
  </si>
  <si>
    <t>5.2.</t>
  </si>
  <si>
    <t>De werknemer die ziek is op het moment dat hij uit dienst gaat en de werknemer die voldoet aan het bepaalde in lid 1 van dit artikel, dient:</t>
  </si>
  <si>
    <t>gehoor te geven aan een oproep van de bedrijfsarts en/of arbeidsdeskundige van werkgever;</t>
  </si>
  <si>
    <t>aan werkgever alle informatie te verstrekken die hij op grond van de Ziektewet of de WIA aan werkgever als eigenrisicodrager of aan het UWV dient te verstrekken. Indien de werknemer geen toestemming geeft medische gegevens aan werkgever te verstrekken dient hij deze wel aan een bedrijfsarts of arts-gemachtigde te verstrekken;</t>
  </si>
  <si>
    <t>alle verplichtingen na te komen die volgen uit de Ziektewet en de WIA;</t>
  </si>
  <si>
    <t>mee te werken aan en namens werkgever aangeboden re-integratietraject of proefplaatsing;</t>
  </si>
  <si>
    <t>een (vervroegde) IVA-uitkering aan te vragen indien en zodra de bedrijfsarts dit mogelijk acht.</t>
  </si>
  <si>
    <t>5.3.</t>
  </si>
  <si>
    <t>De verplichtingen hierboven genoemd in lid 2 van dit artikel blijven bestaan zolang de werknemer arbeidsongeschikt blijft en een Ziektewetuitkering geniet. Is de werknemer volledig hersteld dan eindigen de verplichtingen, tenzij de werknemer binnen 4 weken na hersteld melding opnieuw arbeidsongeschikt raakt.</t>
  </si>
  <si>
    <t>5.4.</t>
  </si>
  <si>
    <t>Indien de werknemer het in lid 1 lid 2 van dit artikel bepaalde overtreedt, verbeurt hij aan de werkgever een direct opeisbare boete van € 2.500,- voor iedere overtreding, alsmede een bedrag van € 500,- voor iedere dag, dat de overtreding voortduurt. De boete zal verschuldigd zijn door het enkele feit van overtreding of niet-nakoming, maar laat onverminderd het recht van de werkgever nakoming te vorderen en onverminderd het recht om volledige schadevergoeding te vorderen. Deze boete is rechtstreeks verschuldigd aan de werkgever en strekt deze tot voordeel. Hiermee wordt nadrukkelijk afgeweken van het bepaalde in artikel 7:650 leden 3 en 5 BW.</t>
  </si>
  <si>
    <t>Wij adviseren je i.v.m. wetswijzigingen actie te ondernemen een week voordat jouw tijdelijke contract afloopt. Vraag een week voor einde contract een WW uitkering aan, wij willen jou daar graag bij helpen.</t>
  </si>
  <si>
    <t>Artikel 6:</t>
  </si>
  <si>
    <t>Voorwaarden</t>
  </si>
  <si>
    <t>Werknemer aanvaardt deze dienstbetrekking op de hierboven en hierna omschreven voorwaarden en verbindt zich de hem door werkgever opgedragen werkzaamheden naar beste vermogen te verrichten.</t>
  </si>
  <si>
    <t>Van de werknemer wordt een creatieve inzet verwacht, waarbij ook niet in de taakomschrijving opgenomen werkzaamheden zullen worden verricht die zullen leiden tot het bereiken van de ondernemingsdoelen.</t>
  </si>
  <si>
    <t>Geheimhoudingsbeding</t>
  </si>
  <si>
    <t>Zowel gedurende als na het einde van de dienstbetrekking zal werknemer volstrekte geheimhouding betrachten ten aanzien van alle gegevens welke hem omtrent werkgever en de activiteiten van werkgever en met werkgever gelieerde ondernemingen bekend zijn. Deze geheimhoudingsplicht omvat tevens alle gegevens van klanten of andere relaties van werkgever, waarvan werknemer uit hoofde van zijn functie kennis neemt. Voor iedere overtreding van deze bepaling verbeurt de werknemer aan de werkgever een terstond opeisbare boete van € 10.000,00 onverminderd het recht van werkgever op volledige schadevergoeding.</t>
  </si>
  <si>
    <t>Overtreding van het hiervoor vermelde verbod kan voor werkgever een dringende reden vormen voor ontslag op staande voet, en zal aanleiding kunnen geven om bij de Officier van Justitie aangifte te doen van het plegen van een misdrijf als bedoeld in artikel 273 Wetboek van Strafrecht.</t>
  </si>
  <si>
    <t>Nevenarbeid</t>
  </si>
  <si>
    <t>Tijdens het dienstverband zal de werknemer zonder schriftelijke toestemming van de werkgever geen al dan niet gehonoreerde beroepsmatige nevenfuncties bekleden.</t>
  </si>
  <si>
    <t>Tevens is het de werknemer verboden om van afnemers, leveranciers of derden gedurende de duur van de arbeidsovereenkomst zonder voorafgaande schriftelijke toestemming van de werkgever, direct of op enigerlei wijze indirect provisie, tegemoetkoming of vergoeding, in welke vorm dan ook aan te nemen of te bedingen.</t>
  </si>
  <si>
    <t>Artikel 7:</t>
  </si>
  <si>
    <t>Gebruik eigendommen van de werkgever</t>
  </si>
  <si>
    <t>De werknemer zal de eigendommen van de werkgever met zorg behandelen.</t>
  </si>
  <si>
    <t>De eigendommen van de werkgever die de werknemer in bruikleen heeft, blijven altijd eigendom van de werkgever en moeten op verzoek van de werkgever onmiddellijk in de oorspronkelijke staat geretourneerd worden.</t>
  </si>
  <si>
    <t>Artikel 8:</t>
  </si>
  <si>
    <t>Slotbepalingen</t>
  </si>
  <si>
    <t>De werknemer zal voorafgaand aan de datum van indiensttreding aan de werkgever een geldig identiteitsbewijs als bedoeld in de Wet op identificatieplicht (Stb. 1993, 660) verstrekken, zodat de werkgever de identiteit van de werknemer kan verifiëren. Werkgever voornoemd identiteitsbewijs, digitaal en/of hard copy - conform haar wettelijke verplichting opnemen in het personeelsdossier.</t>
  </si>
  <si>
    <t>De werknemer verplicht zich er toe, zoals bepaald in de Wet op de identificatieplicht, om tijdens de arbeidsuren een geldig identiteitsbewijs, dan wel een geldig rijbewijs, bij zich te hebben.</t>
  </si>
  <si>
    <t>Door ondertekening van deze arbeidsovereenkomst verklaren werknemer en werkgever zich akkoord met het hierin gestelde.</t>
  </si>
  <si>
    <t>VERKLARING VAN TERBESCHIKKINGSTELLING</t>
  </si>
  <si>
    <t>Wet wegvervoer goederen</t>
  </si>
  <si>
    <t>-</t>
  </si>
  <si>
    <t>Nummer:</t>
  </si>
  <si>
    <t>Aangewezen instelling:</t>
  </si>
  <si>
    <t>Verklaart ter beschikking te hebben gesteld aan:</t>
  </si>
  <si>
    <t>.</t>
  </si>
  <si>
    <t>Codenummer NIWO:</t>
  </si>
  <si>
    <t>De chauffeur:</t>
  </si>
  <si>
    <t>Naam en voorletters:</t>
  </si>
  <si>
    <t>Geboren op:</t>
  </si>
  <si>
    <t>Wonende te:</t>
  </si>
  <si>
    <t>Volledig  adres:</t>
  </si>
  <si>
    <t>en verklaart de op dit formulier vermelde gegevens naar waarheid te hebben verstrekt en een kopie</t>
  </si>
  <si>
    <t>van deze verklaring aan de hierboven vermelde bestuurder van een vrachtauto te hebben uitgereikt.</t>
  </si>
  <si>
    <t>Datum uitreiking chauffeur</t>
  </si>
  <si>
    <t>Datum aanvang terbeschikkingstelling:</t>
  </si>
  <si>
    <t>Datum einde terbeschikkingstelling:</t>
  </si>
  <si>
    <t>Plaats:  Barendrecht</t>
  </si>
  <si>
    <t>Handtekening aangewezen instelling:</t>
  </si>
  <si>
    <t>Handtekening chauffeur:</t>
  </si>
  <si>
    <t>N.B. De bestuurder van een motorrijtuig is verplicht bij beëindiging van de terbeschikkingstelling deze verklaring in te leveren bij degene die hem ter beschikking heeft gesteld.</t>
  </si>
  <si>
    <t>TLN - Functieloonschalen per 1 januari 2025(+4%)</t>
  </si>
  <si>
    <t>Loonschaal/ trede</t>
  </si>
  <si>
    <t>Bedragen per:</t>
  </si>
  <si>
    <t>Uurloon à:</t>
  </si>
  <si>
    <t>Week</t>
  </si>
  <si>
    <t>4 weken</t>
  </si>
  <si>
    <t>Maand</t>
  </si>
  <si>
    <t>A 1</t>
  </si>
  <si>
    <t>A</t>
  </si>
  <si>
    <t>A 2</t>
  </si>
  <si>
    <t>A 3</t>
  </si>
  <si>
    <t>A 4</t>
  </si>
  <si>
    <t>A 5</t>
  </si>
  <si>
    <t>A 6</t>
  </si>
  <si>
    <t>B 1</t>
  </si>
  <si>
    <t>B</t>
  </si>
  <si>
    <t>B 2</t>
  </si>
  <si>
    <t>B 3</t>
  </si>
  <si>
    <t>B 4</t>
  </si>
  <si>
    <t>B 5</t>
  </si>
  <si>
    <t>B 6</t>
  </si>
  <si>
    <t>C 1</t>
  </si>
  <si>
    <t>C</t>
  </si>
  <si>
    <t>C 2</t>
  </si>
  <si>
    <t>C 3</t>
  </si>
  <si>
    <t>C 4</t>
  </si>
  <si>
    <t>C 5</t>
  </si>
  <si>
    <t>C 6</t>
  </si>
  <si>
    <t>D 1</t>
  </si>
  <si>
    <t>D</t>
  </si>
  <si>
    <t>D 2</t>
  </si>
  <si>
    <t>D 3</t>
  </si>
  <si>
    <t>D 4</t>
  </si>
  <si>
    <t>D 6</t>
  </si>
  <si>
    <t>E 1</t>
  </si>
  <si>
    <t>E</t>
  </si>
  <si>
    <t>E 2</t>
  </si>
  <si>
    <t>E 3</t>
  </si>
  <si>
    <t>E 4</t>
  </si>
  <si>
    <t>E 5</t>
  </si>
  <si>
    <t>E 6</t>
  </si>
  <si>
    <t>E 7</t>
  </si>
  <si>
    <t>F 1</t>
  </si>
  <si>
    <t>F</t>
  </si>
  <si>
    <t>F 2</t>
  </si>
  <si>
    <t>F 3</t>
  </si>
  <si>
    <t>F 4</t>
  </si>
  <si>
    <t>F 5</t>
  </si>
  <si>
    <t>F 6</t>
  </si>
  <si>
    <t>F 7</t>
  </si>
  <si>
    <t>F 8</t>
  </si>
  <si>
    <t>G 1</t>
  </si>
  <si>
    <t>G</t>
  </si>
  <si>
    <t>G 2</t>
  </si>
  <si>
    <t>G 3</t>
  </si>
  <si>
    <t>G 4</t>
  </si>
  <si>
    <t>G 5</t>
  </si>
  <si>
    <t>G 6</t>
  </si>
  <si>
    <t>G 7</t>
  </si>
  <si>
    <t>G 8</t>
  </si>
  <si>
    <t>G 9</t>
  </si>
  <si>
    <t>H 1</t>
  </si>
  <si>
    <t>H</t>
  </si>
  <si>
    <t>H 2</t>
  </si>
  <si>
    <t>H 3</t>
  </si>
  <si>
    <t>H 4</t>
  </si>
  <si>
    <t>H 5</t>
  </si>
  <si>
    <t>H 6</t>
  </si>
  <si>
    <t>H 7</t>
  </si>
  <si>
    <t>H 8</t>
  </si>
  <si>
    <t>H 9</t>
  </si>
  <si>
    <t>H 10</t>
  </si>
  <si>
    <t>&lt; 16 jaar</t>
  </si>
  <si>
    <t>22 dagen</t>
  </si>
  <si>
    <t>17 en 18 jaar</t>
  </si>
  <si>
    <t>23 dagen</t>
  </si>
  <si>
    <t>24 dagen</t>
  </si>
  <si>
    <t>40 t/m 44 jaar</t>
  </si>
  <si>
    <t>45 t/m 49 jaar</t>
  </si>
  <si>
    <t>25 dagen</t>
  </si>
  <si>
    <t>50 t/m 54 jaar</t>
  </si>
  <si>
    <t>26 dagen</t>
  </si>
  <si>
    <t>55 t/m 59 jaar</t>
  </si>
  <si>
    <t>27 dagen</t>
  </si>
  <si>
    <t>&gt; 60 jaar</t>
  </si>
  <si>
    <t>28 dagen</t>
  </si>
  <si>
    <t>&lt;16 jaar</t>
  </si>
  <si>
    <t>&gt;60 jaar</t>
  </si>
  <si>
    <t>Accountnaam</t>
  </si>
  <si>
    <t>Map</t>
  </si>
  <si>
    <t>Voorletters</t>
  </si>
  <si>
    <t>Verjardig</t>
  </si>
  <si>
    <t>BSN Nummer</t>
  </si>
  <si>
    <t>Postadres</t>
  </si>
  <si>
    <t>Factuur Plaats</t>
  </si>
  <si>
    <t>Factuur Postcode</t>
  </si>
  <si>
    <t>Primaire Telefoon</t>
  </si>
  <si>
    <t>KvKNummer</t>
  </si>
  <si>
    <t>IBAN Zakelijk</t>
  </si>
  <si>
    <t>BTW-ID</t>
  </si>
  <si>
    <t>Begroeting</t>
  </si>
  <si>
    <t>Primaire E-Mail</t>
  </si>
  <si>
    <t>Achternaam</t>
  </si>
  <si>
    <t>A. Iliev</t>
  </si>
  <si>
    <t>A.N.</t>
  </si>
  <si>
    <t>Springersdiep 21</t>
  </si>
  <si>
    <t>s-Gravenhage</t>
  </si>
  <si>
    <t>2904ET</t>
  </si>
  <si>
    <t>+359882707869</t>
  </si>
  <si>
    <t>NL</t>
  </si>
  <si>
    <t>NL004103132B76</t>
  </si>
  <si>
    <t>Hr.</t>
  </si>
  <si>
    <t>aleksandur91@gmail.com</t>
  </si>
  <si>
    <t>Iliev</t>
  </si>
  <si>
    <t>A.A.</t>
  </si>
  <si>
    <t>Loosduinseweg 867</t>
  </si>
  <si>
    <t>2571AV</t>
  </si>
  <si>
    <t>0685411440</t>
  </si>
  <si>
    <t>NL003657916B47</t>
  </si>
  <si>
    <t>kazakovasen5@gmail.com</t>
  </si>
  <si>
    <t>Kazakov</t>
  </si>
  <si>
    <t>A.B. Mitev</t>
  </si>
  <si>
    <t>A.B.</t>
  </si>
  <si>
    <t>Dautzenbergstraat 21</t>
  </si>
  <si>
    <t>2523KB</t>
  </si>
  <si>
    <t>0684083090</t>
  </si>
  <si>
    <t>NL003142606B73</t>
  </si>
  <si>
    <t>atanas.borisov.mitev@gmail.com</t>
  </si>
  <si>
    <t>Mitev</t>
  </si>
  <si>
    <t>A.N.R. Logistics - gemaild - Achterstand BORA</t>
  </si>
  <si>
    <t>V.I.</t>
  </si>
  <si>
    <t>Thijssestraat 215</t>
  </si>
  <si>
    <t>2521ZG</t>
  </si>
  <si>
    <t>0624950200</t>
  </si>
  <si>
    <t>NL004974407B81</t>
  </si>
  <si>
    <t>johnnyblaze2fu@gmail.com</t>
  </si>
  <si>
    <t>Ryazantsev</t>
  </si>
  <si>
    <t>A.R.S. 89</t>
  </si>
  <si>
    <t>A.R.</t>
  </si>
  <si>
    <t>Jan van der Heijdenstraat 90</t>
  </si>
  <si>
    <t>2522ES</t>
  </si>
  <si>
    <t>0638663285</t>
  </si>
  <si>
    <t>NL002478396B47</t>
  </si>
  <si>
    <t>aliosman123987@abv.bg</t>
  </si>
  <si>
    <t>Shefket</t>
  </si>
  <si>
    <t>A1 Maatwerk (Tolidar Design VOF)</t>
  </si>
  <si>
    <t>A.V.</t>
  </si>
  <si>
    <t>B. Thoenplantsoen 26</t>
  </si>
  <si>
    <t>2552JK</t>
  </si>
  <si>
    <t>0612374803</t>
  </si>
  <si>
    <t>NL61INGB0006019712</t>
  </si>
  <si>
    <t>NL859680484B01</t>
  </si>
  <si>
    <t>tolidardesign@gmail.com</t>
  </si>
  <si>
    <t>Volyanyuk</t>
  </si>
  <si>
    <t>ABZ Bouw</t>
  </si>
  <si>
    <t>Z.D.</t>
  </si>
  <si>
    <t>Van Merlenstraat 58</t>
  </si>
  <si>
    <t>2518TG</t>
  </si>
  <si>
    <t>0653958410</t>
  </si>
  <si>
    <t>NL004774766B22</t>
  </si>
  <si>
    <t>zdravkokovachev09@gmail.com</t>
  </si>
  <si>
    <t>Kovachev</t>
  </si>
  <si>
    <t>ADI 2018 VOF</t>
  </si>
  <si>
    <t>A.S.</t>
  </si>
  <si>
    <t>Jan van der Heydenstraat 4</t>
  </si>
  <si>
    <t>2522EP</t>
  </si>
  <si>
    <t>0645025254</t>
  </si>
  <si>
    <t>NL858521544B01</t>
  </si>
  <si>
    <t>anio198@abv.bg</t>
  </si>
  <si>
    <t>Shopov</t>
  </si>
  <si>
    <t>AdiMar Bouw</t>
  </si>
  <si>
    <t>A.</t>
  </si>
  <si>
    <t>Obrecht 46</t>
  </si>
  <si>
    <t>2681JM</t>
  </si>
  <si>
    <t>0687718709</t>
  </si>
  <si>
    <t>NL004907918B89</t>
  </si>
  <si>
    <t>adrianmarcinczyk5@gmail.com</t>
  </si>
  <si>
    <t>Marcinczyk</t>
  </si>
  <si>
    <t>Adix Bouw</t>
  </si>
  <si>
    <t>P.A.</t>
  </si>
  <si>
    <t>Hoefkade 491A</t>
  </si>
  <si>
    <t>2525LA</t>
  </si>
  <si>
    <t>0684809083</t>
  </si>
  <si>
    <t>NL003357920B16</t>
  </si>
  <si>
    <t>peshoasd85@gmail.com</t>
  </si>
  <si>
    <t>AFM Bouw</t>
  </si>
  <si>
    <t>M.Y.</t>
  </si>
  <si>
    <t>Van Diesenstraat 255</t>
  </si>
  <si>
    <t>2521EH</t>
  </si>
  <si>
    <t>0620479796</t>
  </si>
  <si>
    <t>NL002482305B77</t>
  </si>
  <si>
    <t>amfbouw1@gmail.com</t>
  </si>
  <si>
    <t>Filipov</t>
  </si>
  <si>
    <t>Agora Boekhouding - KOR per 01-04-2023</t>
  </si>
  <si>
    <t>H.A.</t>
  </si>
  <si>
    <t>Burgemeester Elsenlaan 329</t>
  </si>
  <si>
    <t>2282MZ</t>
  </si>
  <si>
    <t>0611584401</t>
  </si>
  <si>
    <t>NL002447245B76</t>
  </si>
  <si>
    <t>Mw.</t>
  </si>
  <si>
    <t>infoagora69@gmail.com</t>
  </si>
  <si>
    <t>Tyankova</t>
  </si>
  <si>
    <t>AHF31 - KOR</t>
  </si>
  <si>
    <t>A.H.</t>
  </si>
  <si>
    <t>0657454758</t>
  </si>
  <si>
    <t>NL002507747B19</t>
  </si>
  <si>
    <t>ahfilipova31@gmail.com</t>
  </si>
  <si>
    <t>Filipova</t>
  </si>
  <si>
    <t>Ahmed 82</t>
  </si>
  <si>
    <t>Barneveldstraat 17</t>
  </si>
  <si>
    <t>2573WB</t>
  </si>
  <si>
    <t>0645089701</t>
  </si>
  <si>
    <t>NL002513371B37</t>
  </si>
  <si>
    <t>ahmedkenan82@gmail.com</t>
  </si>
  <si>
    <t>Kenan</t>
  </si>
  <si>
    <t>Ahmed Hasan Bouw</t>
  </si>
  <si>
    <t>N.A.</t>
  </si>
  <si>
    <t>Loosduinsekade 33C</t>
  </si>
  <si>
    <t>2571BN</t>
  </si>
  <si>
    <t>0684380920</t>
  </si>
  <si>
    <t>NL003953164B33</t>
  </si>
  <si>
    <t>naciahmed6@gmail.com</t>
  </si>
  <si>
    <t>Hasan</t>
  </si>
  <si>
    <t>Akaris</t>
  </si>
  <si>
    <t>Y.M.</t>
  </si>
  <si>
    <t>Weimarstraat 60b</t>
  </si>
  <si>
    <t>2562HA</t>
  </si>
  <si>
    <t>0633037347</t>
  </si>
  <si>
    <t>NL002509090B57</t>
  </si>
  <si>
    <t>akaris@abv.bg</t>
  </si>
  <si>
    <t>Tsvetkov</t>
  </si>
  <si>
    <t>AKO Kirkuk</t>
  </si>
  <si>
    <t>Paterswoldestraat 134</t>
  </si>
  <si>
    <t>2545HV</t>
  </si>
  <si>
    <t>0636012035</t>
  </si>
  <si>
    <t>NL80ABNA0146680774</t>
  </si>
  <si>
    <t>NL005279536B87</t>
  </si>
  <si>
    <t>arkanfatih79@h9otmail.com</t>
  </si>
  <si>
    <t>Ghazi</t>
  </si>
  <si>
    <t>Aleksi 90</t>
  </si>
  <si>
    <t>Kempenaar 01 48</t>
  </si>
  <si>
    <t>8242BA</t>
  </si>
  <si>
    <t>0613697042</t>
  </si>
  <si>
    <t>NL003708714B26</t>
  </si>
  <si>
    <t>aleksi_angelov1@hotmail.com</t>
  </si>
  <si>
    <t>Angelov</t>
  </si>
  <si>
    <t>Aleksiev.CEM</t>
  </si>
  <si>
    <t>S.A.</t>
  </si>
  <si>
    <t>Van Oosterwijk Bruynstraat 10</t>
  </si>
  <si>
    <t>2523XR</t>
  </si>
  <si>
    <t>0683928954</t>
  </si>
  <si>
    <t>NL002469903B48</t>
  </si>
  <si>
    <t>topcusinan1972@gmail.com</t>
  </si>
  <si>
    <t>Aleksiev</t>
  </si>
  <si>
    <t>Alex 84 VOF</t>
  </si>
  <si>
    <t>Spionkopstraat 114</t>
  </si>
  <si>
    <t>2572NP</t>
  </si>
  <si>
    <t>0687278889</t>
  </si>
  <si>
    <t>NL854409130B01</t>
  </si>
  <si>
    <t>zelenkov48@gmail.com</t>
  </si>
  <si>
    <t>Zelenkov</t>
  </si>
  <si>
    <t>Alex Kotsarov Bouw</t>
  </si>
  <si>
    <t>Loosduinsekade 390</t>
  </si>
  <si>
    <t>2571CH</t>
  </si>
  <si>
    <t>0644431633</t>
  </si>
  <si>
    <t>NL28INGB0007649712</t>
  </si>
  <si>
    <t>NL002473674B59</t>
  </si>
  <si>
    <t>alexkotsarov93@gmail.com</t>
  </si>
  <si>
    <t>Kotsarov</t>
  </si>
  <si>
    <t>ALEX18 Bouw</t>
  </si>
  <si>
    <t>I.M.</t>
  </si>
  <si>
    <t>Henri ter Hallsingel 88</t>
  </si>
  <si>
    <t>2284XD</t>
  </si>
  <si>
    <t>+359897962770</t>
  </si>
  <si>
    <t>NL005151288B19</t>
  </si>
  <si>
    <t>iliyan.chonev@gmail.com</t>
  </si>
  <si>
    <t>Chonev</t>
  </si>
  <si>
    <t>Alexiev Transport</t>
  </si>
  <si>
    <t>M.A.</t>
  </si>
  <si>
    <t>Herman Kruyderstraat 4</t>
  </si>
  <si>
    <t>2033VN</t>
  </si>
  <si>
    <t>0685137559</t>
  </si>
  <si>
    <t>NL005090745B57</t>
  </si>
  <si>
    <t>alexalexiev20211@gmail.com</t>
  </si>
  <si>
    <t>Atanasov</t>
  </si>
  <si>
    <t>Alexpro84</t>
  </si>
  <si>
    <t>A.E.</t>
  </si>
  <si>
    <t>Schwerinkade 49</t>
  </si>
  <si>
    <t>2552RR</t>
  </si>
  <si>
    <t>0684134444</t>
  </si>
  <si>
    <t>NL002501280B22</t>
  </si>
  <si>
    <t>aleksandyr_g@abv.bg</t>
  </si>
  <si>
    <t>Gospodinov</t>
  </si>
  <si>
    <t>Alp Bouw</t>
  </si>
  <si>
    <t>R.H.</t>
  </si>
  <si>
    <t>De Lannoystraat 155</t>
  </si>
  <si>
    <t>2533XS</t>
  </si>
  <si>
    <t>0684640121</t>
  </si>
  <si>
    <t>NL81INGB0007649631</t>
  </si>
  <si>
    <t>NL002466163B49</t>
  </si>
  <si>
    <t>alpbouw@gmail.com</t>
  </si>
  <si>
    <t>Ismail</t>
  </si>
  <si>
    <t>AlPand Bouw</t>
  </si>
  <si>
    <t>A.I.</t>
  </si>
  <si>
    <t>Van Beverningkstraat 252</t>
  </si>
  <si>
    <t>2582VM</t>
  </si>
  <si>
    <t>0628708802</t>
  </si>
  <si>
    <t>NL855639015B01</t>
  </si>
  <si>
    <t>krumpandov@abv.bg</t>
  </si>
  <si>
    <t>Dzhongova</t>
  </si>
  <si>
    <t>Altay 79</t>
  </si>
  <si>
    <t>A.F.</t>
  </si>
  <si>
    <t>Da Costastraat 16 B</t>
  </si>
  <si>
    <t>Schiedam</t>
  </si>
  <si>
    <t>3117PH</t>
  </si>
  <si>
    <t>0629426261</t>
  </si>
  <si>
    <t>NL002472304B70</t>
  </si>
  <si>
    <t>afahriahmed@gmail.com</t>
  </si>
  <si>
    <t>Ahmed</t>
  </si>
  <si>
    <t>AMG Bouwservice</t>
  </si>
  <si>
    <t>A.K.</t>
  </si>
  <si>
    <t>Boomblauwtjelaan 241</t>
  </si>
  <si>
    <t>2496XT</t>
  </si>
  <si>
    <t>0641247636</t>
  </si>
  <si>
    <t>NL004728581B42</t>
  </si>
  <si>
    <t>turkmenahmet552@gmail.com</t>
  </si>
  <si>
    <t>Matar</t>
  </si>
  <si>
    <t>Anastasiya Nails - KOR per 01-07-2024</t>
  </si>
  <si>
    <t>A.A</t>
  </si>
  <si>
    <t>Escamplaan 771</t>
  </si>
  <si>
    <t>2547EJ</t>
  </si>
  <si>
    <t>0687017808</t>
  </si>
  <si>
    <t>NL73INGB0109404327</t>
  </si>
  <si>
    <t>NL004980987B31</t>
  </si>
  <si>
    <t>anastasia_petrova@abv.bg</t>
  </si>
  <si>
    <t>Petrova-Semerdzhieva</t>
  </si>
  <si>
    <t>Andreev</t>
  </si>
  <si>
    <t>M.K.</t>
  </si>
  <si>
    <t>Fischerstraat 377</t>
  </si>
  <si>
    <t>2572RB</t>
  </si>
  <si>
    <t>0685084336</t>
  </si>
  <si>
    <t>NL004426096B05</t>
  </si>
  <si>
    <t>andreevmilko@gmail.com</t>
  </si>
  <si>
    <t>Angel 93 VOF</t>
  </si>
  <si>
    <t>O.F.</t>
  </si>
  <si>
    <t>Okkernootstraat 68</t>
  </si>
  <si>
    <t>2555 ZJ</t>
  </si>
  <si>
    <t>0634867767</t>
  </si>
  <si>
    <t>NL858564993B01</t>
  </si>
  <si>
    <t>ana_orhi@yahoo.com</t>
  </si>
  <si>
    <t>Hryustemov</t>
  </si>
  <si>
    <t>Angel Bouw A.A.N.</t>
  </si>
  <si>
    <t>Aarnout Drostlaan 48</t>
  </si>
  <si>
    <t>2523EN</t>
  </si>
  <si>
    <t>0687717135</t>
  </si>
  <si>
    <t>NL003894540B66</t>
  </si>
  <si>
    <t>aleksandargeorgiev522@gmail.com</t>
  </si>
  <si>
    <t>Georgiev</t>
  </si>
  <si>
    <t>Angel Pro</t>
  </si>
  <si>
    <t>A.M.</t>
  </si>
  <si>
    <t>Van der Helststraat 14</t>
  </si>
  <si>
    <t>2526BD</t>
  </si>
  <si>
    <t>0684265496</t>
  </si>
  <si>
    <t>NL005033216B32</t>
  </si>
  <si>
    <t>info@angelpro.nl</t>
  </si>
  <si>
    <t>Aleksandrov</t>
  </si>
  <si>
    <t>Anton Angelov Bouw</t>
  </si>
  <si>
    <t>A.G.</t>
  </si>
  <si>
    <t>Deimanstraat 238</t>
  </si>
  <si>
    <t>2522BR</t>
  </si>
  <si>
    <t>0685758653</t>
  </si>
  <si>
    <t>NL003608938B81</t>
  </si>
  <si>
    <t>antonangelov23@icloud.com</t>
  </si>
  <si>
    <t>Antonyk Klusbedrijf</t>
  </si>
  <si>
    <t>Thorbeckelaan 93</t>
  </si>
  <si>
    <t>2564BH</t>
  </si>
  <si>
    <t>0630751924</t>
  </si>
  <si>
    <t>NL005035225B90</t>
  </si>
  <si>
    <t>andriy220884@gmail.com</t>
  </si>
  <si>
    <t>Antonyk</t>
  </si>
  <si>
    <t>Anushev Onderhoudsbedrijf</t>
  </si>
  <si>
    <t>S.R.</t>
  </si>
  <si>
    <t>Vinkensteynstraat 103</t>
  </si>
  <si>
    <t>2562TN</t>
  </si>
  <si>
    <t>0649628440</t>
  </si>
  <si>
    <t>NL003190325B21</t>
  </si>
  <si>
    <t>s.anushev@gmail.com</t>
  </si>
  <si>
    <t>Anushev</t>
  </si>
  <si>
    <t>APF Dienstverlening</t>
  </si>
  <si>
    <t>P.</t>
  </si>
  <si>
    <t>Paradijsweg 1</t>
  </si>
  <si>
    <t>2042GC</t>
  </si>
  <si>
    <t>+306987319009</t>
  </si>
  <si>
    <t>NL004767129B79</t>
  </si>
  <si>
    <t>petrosanyf089@gmail.com</t>
  </si>
  <si>
    <t>Anyfantakis</t>
  </si>
  <si>
    <t>APRIBOUW VOF</t>
  </si>
  <si>
    <t>S.</t>
  </si>
  <si>
    <t>B.Thoenplantsoen 26</t>
  </si>
  <si>
    <t>0685137374</t>
  </si>
  <si>
    <t>NL865099820B01</t>
  </si>
  <si>
    <t>apribouw@gmail.com</t>
  </si>
  <si>
    <t>Volianiuk</t>
  </si>
  <si>
    <t>ARA Services</t>
  </si>
  <si>
    <t>R.A.</t>
  </si>
  <si>
    <t>van Leeuwenhoeklaan 198</t>
  </si>
  <si>
    <t>4708BD</t>
  </si>
  <si>
    <t>0614729133</t>
  </si>
  <si>
    <t>NL002498696B95</t>
  </si>
  <si>
    <t>ara.atanasov@gmail.com</t>
  </si>
  <si>
    <t>AREA Trans VOF</t>
  </si>
  <si>
    <t>A.Z.</t>
  </si>
  <si>
    <t>Donk 2B</t>
  </si>
  <si>
    <t>2991LE</t>
  </si>
  <si>
    <t>+31612833600</t>
  </si>
  <si>
    <t>NL864923624B01</t>
  </si>
  <si>
    <t>areatrans20@gmail.com</t>
  </si>
  <si>
    <t>Stamboliyski</t>
  </si>
  <si>
    <t>ARRS Bouw</t>
  </si>
  <si>
    <t>Soestdijkseplein 3</t>
  </si>
  <si>
    <t>2574 GX</t>
  </si>
  <si>
    <t>0687700931</t>
  </si>
  <si>
    <t>NL003523036B12</t>
  </si>
  <si>
    <t>nasko191981@gmail.com</t>
  </si>
  <si>
    <t>Vasilev</t>
  </si>
  <si>
    <t>ArsAlan Steigerbouw</t>
  </si>
  <si>
    <t>S.N.</t>
  </si>
  <si>
    <t>Leiwater 99</t>
  </si>
  <si>
    <t>Zoetermeer</t>
  </si>
  <si>
    <t>2715BB</t>
  </si>
  <si>
    <t>0631223132</t>
  </si>
  <si>
    <t>NL98INGB0009209861</t>
  </si>
  <si>
    <t>NL002470015B10</t>
  </si>
  <si>
    <t>arsalans.iron@gmail.com</t>
  </si>
  <si>
    <t>Khaliev</t>
  </si>
  <si>
    <t>Arsenij's Enterprise</t>
  </si>
  <si>
    <t>Simonsstraat 42</t>
  </si>
  <si>
    <t>Delft</t>
  </si>
  <si>
    <t>2628TH</t>
  </si>
  <si>
    <t>0684672597</t>
  </si>
  <si>
    <t>NL93INGB0107878933</t>
  </si>
  <si>
    <t>NL005084942B98</t>
  </si>
  <si>
    <t>arsenijs321@gmail.com</t>
  </si>
  <si>
    <t>Čistjakovs</t>
  </si>
  <si>
    <t>ASC Chilingira</t>
  </si>
  <si>
    <t>Goeverneurlaan 490</t>
  </si>
  <si>
    <t>2523CL</t>
  </si>
  <si>
    <t>0640643464</t>
  </si>
  <si>
    <t>NL002482218B84</t>
  </si>
  <si>
    <t>chilingirovasen@gmail.com</t>
  </si>
  <si>
    <t>Chilingirov</t>
  </si>
  <si>
    <t>Asen Bonev Bouw</t>
  </si>
  <si>
    <t>A.D.</t>
  </si>
  <si>
    <t>Colensostraat 27</t>
  </si>
  <si>
    <t>2572NS</t>
  </si>
  <si>
    <t>0685770757</t>
  </si>
  <si>
    <t>NL003668306B45</t>
  </si>
  <si>
    <t>bonevasen8@gmail.com</t>
  </si>
  <si>
    <t>Bonev</t>
  </si>
  <si>
    <t>Asen DTV Bouw</t>
  </si>
  <si>
    <t>Helmersstraat 73B</t>
  </si>
  <si>
    <t>2513RW</t>
  </si>
  <si>
    <t>0687600195</t>
  </si>
  <si>
    <t>NL003351589B56</t>
  </si>
  <si>
    <t>mileldenis123@gmail.com</t>
  </si>
  <si>
    <t>Asenov</t>
  </si>
  <si>
    <t>Asi Infra</t>
  </si>
  <si>
    <t>I.I.</t>
  </si>
  <si>
    <t>Stieltjesstraat 123</t>
  </si>
  <si>
    <t>2521VH</t>
  </si>
  <si>
    <t>0649927656</t>
  </si>
  <si>
    <t>NL004997318B07</t>
  </si>
  <si>
    <t>isa_@abv.bg</t>
  </si>
  <si>
    <t>Yusein</t>
  </si>
  <si>
    <t>Asko 06 &amp; Nili V.O.F.</t>
  </si>
  <si>
    <t>H.H.</t>
  </si>
  <si>
    <t>Rodenbachstraat 70</t>
  </si>
  <si>
    <t>2523JM</t>
  </si>
  <si>
    <t>0683278856</t>
  </si>
  <si>
    <t>NL858569139B01</t>
  </si>
  <si>
    <t>asko0605@hotmail.com</t>
  </si>
  <si>
    <t>Yashar</t>
  </si>
  <si>
    <t>Asya Asenova</t>
  </si>
  <si>
    <t>Beeklaan 215</t>
  </si>
  <si>
    <t>2562AE</t>
  </si>
  <si>
    <t>+359877177810</t>
  </si>
  <si>
    <t>NL004960785B71</t>
  </si>
  <si>
    <t>asenovaasa566@gmail.com</t>
  </si>
  <si>
    <t>Asenova</t>
  </si>
  <si>
    <t>Atka</t>
  </si>
  <si>
    <t>Paets van Troostwijkstr 53</t>
  </si>
  <si>
    <t>2522DL</t>
  </si>
  <si>
    <t>0683871250</t>
  </si>
  <si>
    <t>atka07@hotmail.com</t>
  </si>
  <si>
    <t>Sadula</t>
  </si>
  <si>
    <t>Axentis</t>
  </si>
  <si>
    <t>E.J.</t>
  </si>
  <si>
    <t>Steenplaetsstraat 6</t>
  </si>
  <si>
    <t>2288AA</t>
  </si>
  <si>
    <t>0707505651</t>
  </si>
  <si>
    <t>NL001565172B59</t>
  </si>
  <si>
    <t>rangelov.e@gmail.com</t>
  </si>
  <si>
    <t>Rangelov</t>
  </si>
  <si>
    <t>Ayvaz IJzervlechter</t>
  </si>
  <si>
    <t>Burgersdijkstraat 4</t>
  </si>
  <si>
    <t>2522 WE</t>
  </si>
  <si>
    <t>0685350756</t>
  </si>
  <si>
    <t>NL002489543B22</t>
  </si>
  <si>
    <t>nasko_xristev99@icloud.com</t>
  </si>
  <si>
    <t>Hristev</t>
  </si>
  <si>
    <t>Azaria</t>
  </si>
  <si>
    <t>V.M.</t>
  </si>
  <si>
    <t>Jan Wapstraat 47</t>
  </si>
  <si>
    <t>2523GB</t>
  </si>
  <si>
    <t>0628436661</t>
  </si>
  <si>
    <t>NL002456577B90</t>
  </si>
  <si>
    <t>valarina11@hotmail.com</t>
  </si>
  <si>
    <t>Georgieva</t>
  </si>
  <si>
    <t>B.A. Nikolov</t>
  </si>
  <si>
    <t>B.A.</t>
  </si>
  <si>
    <t>Hendrik de Keijserstraat 35</t>
  </si>
  <si>
    <t>Tilburg</t>
  </si>
  <si>
    <t>5041JA</t>
  </si>
  <si>
    <t>+359885717475</t>
  </si>
  <si>
    <t>NL93INGB0114802211</t>
  </si>
  <si>
    <t>NL005256357B51</t>
  </si>
  <si>
    <t>boyanikolov@abv.bg</t>
  </si>
  <si>
    <t>Nikolov</t>
  </si>
  <si>
    <t>Babadzhanov SL</t>
  </si>
  <si>
    <t>M.H.</t>
  </si>
  <si>
    <t>Linnaeusstraat 149</t>
  </si>
  <si>
    <t>2522GJ</t>
  </si>
  <si>
    <t>0621345253</t>
  </si>
  <si>
    <t>NL003409266B10</t>
  </si>
  <si>
    <t>mehdi.babadjanov@abv.bg</t>
  </si>
  <si>
    <t>Babadzhanov</t>
  </si>
  <si>
    <t>Beauty Secret by Tatiana</t>
  </si>
  <si>
    <t>T.</t>
  </si>
  <si>
    <t>Spuiweg 8</t>
  </si>
  <si>
    <t>Dordrecht</t>
  </si>
  <si>
    <t>3311GV</t>
  </si>
  <si>
    <t>0628706549</t>
  </si>
  <si>
    <t>NL18INGB0398333882</t>
  </si>
  <si>
    <t>NL004531088B51</t>
  </si>
  <si>
    <t>beautysecretbytatiana@gmail.com</t>
  </si>
  <si>
    <t>Adamovych</t>
  </si>
  <si>
    <t>Beko Market</t>
  </si>
  <si>
    <t>B.H.</t>
  </si>
  <si>
    <t>Delftselaan 95</t>
  </si>
  <si>
    <t>2512RC</t>
  </si>
  <si>
    <t>0611148764</t>
  </si>
  <si>
    <t>NL12INGB0007945947</t>
  </si>
  <si>
    <t>NL002477801B67</t>
  </si>
  <si>
    <t>beihan_12@abv.bg</t>
  </si>
  <si>
    <t>Hyusein</t>
  </si>
  <si>
    <t>Belkis Schoonmaak - KOR</t>
  </si>
  <si>
    <t>Z.G.</t>
  </si>
  <si>
    <t>Maasstraat 131</t>
  </si>
  <si>
    <t>2515 DC</t>
  </si>
  <si>
    <t>0644042494</t>
  </si>
  <si>
    <t>NL002498851B58</t>
  </si>
  <si>
    <t>belkisschoonmaak@gmail.com</t>
  </si>
  <si>
    <t>BENEDUKT REPARATIE</t>
  </si>
  <si>
    <t>Y.</t>
  </si>
  <si>
    <t>Ds van den Boschlaan 55</t>
  </si>
  <si>
    <t>2286PB</t>
  </si>
  <si>
    <t>0614229188</t>
  </si>
  <si>
    <t>NL004777600B27</t>
  </si>
  <si>
    <t>benedukt93@gmail.com</t>
  </si>
  <si>
    <t>Yaroshuk</t>
  </si>
  <si>
    <t>Beno 80</t>
  </si>
  <si>
    <t>T.B.</t>
  </si>
  <si>
    <t>Lyonnetstraat 49</t>
  </si>
  <si>
    <t>2522NB</t>
  </si>
  <si>
    <t>0618345090</t>
  </si>
  <si>
    <t>NL002455318B72</t>
  </si>
  <si>
    <t>vesanke76@gmail.com</t>
  </si>
  <si>
    <t>Todorov</t>
  </si>
  <si>
    <t>Betpac</t>
  </si>
  <si>
    <t>S.B.</t>
  </si>
  <si>
    <t>Dedemsvaartweg 1138</t>
  </si>
  <si>
    <t>2545BH</t>
  </si>
  <si>
    <t>0684077754</t>
  </si>
  <si>
    <t>NL002491573B85</t>
  </si>
  <si>
    <t>shenkoreal@yahoo.com</t>
  </si>
  <si>
    <t>Shenkov</t>
  </si>
  <si>
    <t>BG Familia Bakkerij Market</t>
  </si>
  <si>
    <t>G.M.</t>
  </si>
  <si>
    <t>Augustusbloemweg 41</t>
  </si>
  <si>
    <t>1508BB</t>
  </si>
  <si>
    <t>0686101008</t>
  </si>
  <si>
    <t>NL39INGB0110208196</t>
  </si>
  <si>
    <t>NL867114447B01</t>
  </si>
  <si>
    <t>familiamarket05@gmail.com</t>
  </si>
  <si>
    <t>BGB logistic</t>
  </si>
  <si>
    <t>E.A.</t>
  </si>
  <si>
    <t>Bragastraat 124</t>
  </si>
  <si>
    <t>2523HK</t>
  </si>
  <si>
    <t>0685281455</t>
  </si>
  <si>
    <t>NL004636340B85</t>
  </si>
  <si>
    <t>gazaree@gmail.com</t>
  </si>
  <si>
    <t>Dvuyak</t>
  </si>
  <si>
    <t>Bingo BG</t>
  </si>
  <si>
    <t>N.S.</t>
  </si>
  <si>
    <t>Mesdaglaan 1-a</t>
  </si>
  <si>
    <t>3117TG</t>
  </si>
  <si>
    <t>0687240489</t>
  </si>
  <si>
    <t>NL39INGB0105861626</t>
  </si>
  <si>
    <t>NL004975333B89</t>
  </si>
  <si>
    <t>nikolov042328@gmail.com</t>
  </si>
  <si>
    <t>BirMaks</t>
  </si>
  <si>
    <t>B.I.</t>
  </si>
  <si>
    <t>Kervelhof 16</t>
  </si>
  <si>
    <t>Hoogvliet Rotterdam</t>
  </si>
  <si>
    <t>3193JH</t>
  </si>
  <si>
    <t>0628859199</t>
  </si>
  <si>
    <t>NL003058927B76</t>
  </si>
  <si>
    <t>birhanmaksudov@gmail.com</t>
  </si>
  <si>
    <t>Maksudov</t>
  </si>
  <si>
    <t>Birufoli</t>
  </si>
  <si>
    <t>R.B.</t>
  </si>
  <si>
    <t>Katendrechtse Lagedijk 449 B</t>
  </si>
  <si>
    <t>Rotterdam</t>
  </si>
  <si>
    <t>3082 GB</t>
  </si>
  <si>
    <t>0657626237</t>
  </si>
  <si>
    <t>NL004557826B66</t>
  </si>
  <si>
    <t>rufiwork@hotmail.com</t>
  </si>
  <si>
    <t>Mustafov</t>
  </si>
  <si>
    <t>BIS Montage VOF</t>
  </si>
  <si>
    <t>Jan Wapstraat 71</t>
  </si>
  <si>
    <t>2523GC</t>
  </si>
  <si>
    <t>0652043183</t>
  </si>
  <si>
    <t>NL860928883B01</t>
  </si>
  <si>
    <t>behosolak@gmail.com</t>
  </si>
  <si>
    <t>Solak</t>
  </si>
  <si>
    <t>Biser 74</t>
  </si>
  <si>
    <t>Vreeswijkstraat 663</t>
  </si>
  <si>
    <t>2546AR</t>
  </si>
  <si>
    <t>0684408224</t>
  </si>
  <si>
    <t>NL003612228B56</t>
  </si>
  <si>
    <t>biser.firma21@gmail.com</t>
  </si>
  <si>
    <t>Kadiev</t>
  </si>
  <si>
    <t>Biser en Tzveti VOF</t>
  </si>
  <si>
    <t>B.V.</t>
  </si>
  <si>
    <t>Loenensestraat 153</t>
  </si>
  <si>
    <t>2574RK</t>
  </si>
  <si>
    <t>0643267891</t>
  </si>
  <si>
    <t>NL862927389B01</t>
  </si>
  <si>
    <t>bs.sanev@abv.bg</t>
  </si>
  <si>
    <t>Sanev</t>
  </si>
  <si>
    <t>Bisi Bouw</t>
  </si>
  <si>
    <t>Jan ten Brinkstraat 97</t>
  </si>
  <si>
    <t>2522HW</t>
  </si>
  <si>
    <t>0684236557</t>
  </si>
  <si>
    <t>NL002516824B97</t>
  </si>
  <si>
    <t>aptito2@abv.bg</t>
  </si>
  <si>
    <t>Karamanov</t>
  </si>
  <si>
    <t>Blagodat</t>
  </si>
  <si>
    <t>B.D.</t>
  </si>
  <si>
    <t>Jan van Rodestraat 102</t>
  </si>
  <si>
    <t>2531XV</t>
  </si>
  <si>
    <t>0684536005</t>
  </si>
  <si>
    <t>NL003426503B77</t>
  </si>
  <si>
    <t>bojikalcheva9@gmail.com</t>
  </si>
  <si>
    <t>Kalcheva</t>
  </si>
  <si>
    <t>BM &amp; KM Bouwbedrijf VOF</t>
  </si>
  <si>
    <t>K.I.</t>
  </si>
  <si>
    <t>Lepelaarsingel 12</t>
  </si>
  <si>
    <t>Vlaardingen</t>
  </si>
  <si>
    <t>3136PA</t>
  </si>
  <si>
    <t>0624962096</t>
  </si>
  <si>
    <t>NL857789430B01</t>
  </si>
  <si>
    <t>bmkmbouw@gmail.com</t>
  </si>
  <si>
    <t>Yaneva</t>
  </si>
  <si>
    <t>Bogdan Bouw</t>
  </si>
  <si>
    <t>B.</t>
  </si>
  <si>
    <t>0647013881</t>
  </si>
  <si>
    <t>NL002445084B28</t>
  </si>
  <si>
    <t>boguslawmarcinczyk@wp.pl</t>
  </si>
  <si>
    <t>Bomak</t>
  </si>
  <si>
    <t>van Zeggelenlaan 72</t>
  </si>
  <si>
    <t>2524AR</t>
  </si>
  <si>
    <t>0624491009</t>
  </si>
  <si>
    <t>NL002473283B86</t>
  </si>
  <si>
    <t>baleksandrovski@yahoo.com</t>
  </si>
  <si>
    <t>Aleksandrovski</t>
  </si>
  <si>
    <t>Bonchev Construction</t>
  </si>
  <si>
    <t>M.T.</t>
  </si>
  <si>
    <t>Professor de Moorplein 221</t>
  </si>
  <si>
    <t>5037DN</t>
  </si>
  <si>
    <t>+359885063008</t>
  </si>
  <si>
    <t>NL005082271B81</t>
  </si>
  <si>
    <t>bonqta.02@gmail.com</t>
  </si>
  <si>
    <t>Bonchev</t>
  </si>
  <si>
    <t>Boratech Administraties B.V.</t>
  </si>
  <si>
    <t>NL44INGB0007466288</t>
  </si>
  <si>
    <t>NL856680229B01</t>
  </si>
  <si>
    <t>info@boratech.nl</t>
  </si>
  <si>
    <t>Boratech Assuranti?n B.V</t>
  </si>
  <si>
    <t>Boratech Assurantiën B.V</t>
  </si>
  <si>
    <t>+31707505651</t>
  </si>
  <si>
    <t>NL864866835B01</t>
  </si>
  <si>
    <t>assurantien@boratech.nl</t>
  </si>
  <si>
    <t>Fidanchev</t>
  </si>
  <si>
    <t>Boratech B.V.</t>
  </si>
  <si>
    <t>NL856679343B01</t>
  </si>
  <si>
    <t>management@boratech.nl</t>
  </si>
  <si>
    <t>Boratech Personeelsdiensten B.V.</t>
  </si>
  <si>
    <t>NL859047349B01</t>
  </si>
  <si>
    <t>info@boratechpd.nl</t>
  </si>
  <si>
    <t>Boratech Trading B.V.</t>
  </si>
  <si>
    <t>0613574628</t>
  </si>
  <si>
    <t>NL861310184B01</t>
  </si>
  <si>
    <t>info@boratechtrading.nl</t>
  </si>
  <si>
    <t>BoriGol Bouw</t>
  </si>
  <si>
    <t>B.R.</t>
  </si>
  <si>
    <t>Laakkade 189</t>
  </si>
  <si>
    <t>2521XL</t>
  </si>
  <si>
    <t>0685774105</t>
  </si>
  <si>
    <t>NL004167561B81</t>
  </si>
  <si>
    <t>rosi_borko@abv.bg</t>
  </si>
  <si>
    <t>Golemanov</t>
  </si>
  <si>
    <t>Boris Isolatiebedrijf</t>
  </si>
  <si>
    <t>B.P.</t>
  </si>
  <si>
    <t>Burgemeester Van Haarenlaan 881</t>
  </si>
  <si>
    <t>3119GD</t>
  </si>
  <si>
    <t>0657249666</t>
  </si>
  <si>
    <t>NL003579946B79</t>
  </si>
  <si>
    <t>borislavpavlov3232@gmail.com</t>
  </si>
  <si>
    <t>Pavlov</t>
  </si>
  <si>
    <t>Borislav Asenov VOF</t>
  </si>
  <si>
    <t>B.M.</t>
  </si>
  <si>
    <t>Hoog Buurlostraat 5</t>
  </si>
  <si>
    <t>2573 HV</t>
  </si>
  <si>
    <t>0687797919</t>
  </si>
  <si>
    <t>NL866524447B01</t>
  </si>
  <si>
    <t>mixailovaxristina@gmail.com</t>
  </si>
  <si>
    <t>Borislav Dimov Loonbedrijf</t>
  </si>
  <si>
    <t>Hulshorststraat 40</t>
  </si>
  <si>
    <t>2573EK</t>
  </si>
  <si>
    <t>0684749970</t>
  </si>
  <si>
    <t>NL24INGB0113841019</t>
  </si>
  <si>
    <t>NL005270940B45</t>
  </si>
  <si>
    <t>danaildimovv73@gmail.com</t>
  </si>
  <si>
    <t>Dimov</t>
  </si>
  <si>
    <t>Borisov Bouw</t>
  </si>
  <si>
    <t>R.I.</t>
  </si>
  <si>
    <t>Drijfriemstraat 27</t>
  </si>
  <si>
    <t>2516XL</t>
  </si>
  <si>
    <t>0645923500</t>
  </si>
  <si>
    <t>NL005295442B08</t>
  </si>
  <si>
    <t>rado.borisov@hotmail.com</t>
  </si>
  <si>
    <t>Borisov</t>
  </si>
  <si>
    <t>Boro Ijzervlechter</t>
  </si>
  <si>
    <t>Jasmijnstraat 87</t>
  </si>
  <si>
    <t>2563RS</t>
  </si>
  <si>
    <t>0685023231</t>
  </si>
  <si>
    <t>NL002463419B10</t>
  </si>
  <si>
    <t>raicho9111@icloud.com</t>
  </si>
  <si>
    <t>Raykov</t>
  </si>
  <si>
    <t>Bouwbedrijf Nasko Bogdanov</t>
  </si>
  <si>
    <t>Damasstraat 305</t>
  </si>
  <si>
    <t>2522TS</t>
  </si>
  <si>
    <t>0687378815</t>
  </si>
  <si>
    <t>NL002494502B11</t>
  </si>
  <si>
    <t>nde79@abv.bg</t>
  </si>
  <si>
    <t>Bogdanov</t>
  </si>
  <si>
    <t>Bovic 2011</t>
  </si>
  <si>
    <t>V.D.</t>
  </si>
  <si>
    <t>Wolweversgaarde 8</t>
  </si>
  <si>
    <t>2542AT</t>
  </si>
  <si>
    <t>0620862492</t>
  </si>
  <si>
    <t>NL002462438B12</t>
  </si>
  <si>
    <t>venelinvakov1971@gmail.com</t>
  </si>
  <si>
    <t>Vakov</t>
  </si>
  <si>
    <t>Boyan Boyanov</t>
  </si>
  <si>
    <t>B.S.</t>
  </si>
  <si>
    <t>Troelstrakade 97</t>
  </si>
  <si>
    <t>2531AB</t>
  </si>
  <si>
    <t>0684228542</t>
  </si>
  <si>
    <t>NL98INGB0008254411</t>
  </si>
  <si>
    <t>NL003608470B25</t>
  </si>
  <si>
    <t>boyan.boyanov.1988@gmail.com</t>
  </si>
  <si>
    <t>Boyanov</t>
  </si>
  <si>
    <t>BSA Construction</t>
  </si>
  <si>
    <t>Nieuwe Maasstraat 98 B</t>
  </si>
  <si>
    <t>3114 TP</t>
  </si>
  <si>
    <t>0610762514</t>
  </si>
  <si>
    <t>NL003660865B84</t>
  </si>
  <si>
    <t>smolensk.serghei@gmail.com</t>
  </si>
  <si>
    <t>Budoian</t>
  </si>
  <si>
    <t>BulFloor (Stoychev Grondwerk)</t>
  </si>
  <si>
    <t>Sluiskreek 14</t>
  </si>
  <si>
    <t>3079CM</t>
  </si>
  <si>
    <t>0611844412</t>
  </si>
  <si>
    <t>NL002466018B93</t>
  </si>
  <si>
    <t>stoychevgrondwerk@gmail.com</t>
  </si>
  <si>
    <t>Stoychev</t>
  </si>
  <si>
    <t>Chichi 88 VOF</t>
  </si>
  <si>
    <t>Goeverneurlaan 247</t>
  </si>
  <si>
    <t>2523BE</t>
  </si>
  <si>
    <t>0618330775</t>
  </si>
  <si>
    <t>NL865338863B01</t>
  </si>
  <si>
    <t>sevdiyurukov@gmail.com</t>
  </si>
  <si>
    <t>Yurukov</t>
  </si>
  <si>
    <t>Cicko Bouw</t>
  </si>
  <si>
    <t>Z.R.</t>
  </si>
  <si>
    <t>Huissensestraat 50 3</t>
  </si>
  <si>
    <t>6833JA</t>
  </si>
  <si>
    <t>+359879043098</t>
  </si>
  <si>
    <t>NL005119399B94</t>
  </si>
  <si>
    <t>cickobouw.nl@gmail.com</t>
  </si>
  <si>
    <t>Sabev</t>
  </si>
  <si>
    <t>Constantin79</t>
  </si>
  <si>
    <t>Daltonstraat 10</t>
  </si>
  <si>
    <t>2561ST</t>
  </si>
  <si>
    <t>0645524388</t>
  </si>
  <si>
    <t>NL003890422B74</t>
  </si>
  <si>
    <t>kosiopetkov79@gmail.com</t>
  </si>
  <si>
    <t>Petkov</t>
  </si>
  <si>
    <t>Crafty World</t>
  </si>
  <si>
    <t>T.E.</t>
  </si>
  <si>
    <t>Rossinilaan 46</t>
  </si>
  <si>
    <t>2551MG</t>
  </si>
  <si>
    <t>0687871841</t>
  </si>
  <si>
    <t>NL005041058B70</t>
  </si>
  <si>
    <t>tidzhengyuldzhu@gmail.com</t>
  </si>
  <si>
    <t>Gyuldzhu</t>
  </si>
  <si>
    <t>D Mak</t>
  </si>
  <si>
    <t>D.</t>
  </si>
  <si>
    <t>Amperestraat 120</t>
  </si>
  <si>
    <t>2563ZW</t>
  </si>
  <si>
    <t>0638376900</t>
  </si>
  <si>
    <t>NL002468168B46</t>
  </si>
  <si>
    <t>davoraleksandrovski@yahoo.com</t>
  </si>
  <si>
    <t>D&amp;AGOV2011</t>
  </si>
  <si>
    <t>Wolweversgaarde 579</t>
  </si>
  <si>
    <t>2542BB</t>
  </si>
  <si>
    <t>0685214252</t>
  </si>
  <si>
    <t>NL003620841B42</t>
  </si>
  <si>
    <t>ayhan87duygu@outlook.com</t>
  </si>
  <si>
    <t>Agov</t>
  </si>
  <si>
    <t>D. Danchev Services VOF</t>
  </si>
  <si>
    <t>D.G.</t>
  </si>
  <si>
    <t>Springfonteinstraat 52</t>
  </si>
  <si>
    <t>2572PM</t>
  </si>
  <si>
    <t>0639149225</t>
  </si>
  <si>
    <t>NL68INGB0103159169</t>
  </si>
  <si>
    <t>NL867997576B01</t>
  </si>
  <si>
    <t>daysklant576@gmail.com</t>
  </si>
  <si>
    <t>Danchev</t>
  </si>
  <si>
    <t>D.V. Dimitrov</t>
  </si>
  <si>
    <t>D.V.</t>
  </si>
  <si>
    <t>Bernardusplein 19</t>
  </si>
  <si>
    <t>5042HP</t>
  </si>
  <si>
    <t>0629828214</t>
  </si>
  <si>
    <t>NL004972651B74</t>
  </si>
  <si>
    <t>dimitar930819@gmail.com</t>
  </si>
  <si>
    <t>Dimitrov</t>
  </si>
  <si>
    <t>Dainicral 82</t>
  </si>
  <si>
    <t>S.D.</t>
  </si>
  <si>
    <t>0687643783</t>
  </si>
  <si>
    <t>NL002465107B47</t>
  </si>
  <si>
    <t>stanislavkirev82@abv.bg</t>
  </si>
  <si>
    <t>Kirev</t>
  </si>
  <si>
    <t>DamMar Bouw</t>
  </si>
  <si>
    <t>0684973788</t>
  </si>
  <si>
    <t>NL004907857B56</t>
  </si>
  <si>
    <t>damianmarcinczyk0@gmail.com</t>
  </si>
  <si>
    <t>Danchiv Bouw</t>
  </si>
  <si>
    <t>V.</t>
  </si>
  <si>
    <t>Hulshorststraat 4</t>
  </si>
  <si>
    <t>0642246140</t>
  </si>
  <si>
    <t>NL002498951B31</t>
  </si>
  <si>
    <t>wesli120182@gmail.com</t>
  </si>
  <si>
    <t>Danchiv</t>
  </si>
  <si>
    <t>Danev Services</t>
  </si>
  <si>
    <t>N.Y.</t>
  </si>
  <si>
    <t>Boele van Hensbroekstraat 55</t>
  </si>
  <si>
    <t>2522HK</t>
  </si>
  <si>
    <t>0610632903</t>
  </si>
  <si>
    <t>NL005004355B15</t>
  </si>
  <si>
    <t>danev2013niki@gmail.com</t>
  </si>
  <si>
    <t>Danev</t>
  </si>
  <si>
    <t>DANGO Klussenbedrijf</t>
  </si>
  <si>
    <t>Miamihof 32</t>
  </si>
  <si>
    <t>2548JB</t>
  </si>
  <si>
    <t>0645854672</t>
  </si>
  <si>
    <t>NL004587131B64</t>
  </si>
  <si>
    <t>daniyusenagov@gmail.com</t>
  </si>
  <si>
    <t>Yusenagov</t>
  </si>
  <si>
    <t>Dani 81</t>
  </si>
  <si>
    <t>A.Y.</t>
  </si>
  <si>
    <t>Marktweg 54</t>
  </si>
  <si>
    <t>2525JM</t>
  </si>
  <si>
    <t>0642593454</t>
  </si>
  <si>
    <t>NL91INGB0006600396</t>
  </si>
  <si>
    <t>NL002484127B72</t>
  </si>
  <si>
    <t>Tonikardjo123@gmail.com</t>
  </si>
  <si>
    <t>Karadzhov</t>
  </si>
  <si>
    <t>Danial Angelov Klussenbedrijf VOF</t>
  </si>
  <si>
    <t>D.A.</t>
  </si>
  <si>
    <t>Fazantstraat 74-A</t>
  </si>
  <si>
    <t>3083ZL</t>
  </si>
  <si>
    <t>0681831251</t>
  </si>
  <si>
    <t>NL96INGB0004856343</t>
  </si>
  <si>
    <t>NL859050610B01</t>
  </si>
  <si>
    <t>danail.angelow@abv.bg</t>
  </si>
  <si>
    <t>Danial Mitev VOF</t>
  </si>
  <si>
    <t>0685101340</t>
  </si>
  <si>
    <t>NL21INGB0007437214</t>
  </si>
  <si>
    <t>NL862320252B01</t>
  </si>
  <si>
    <t>danailmitev097@gmail.com</t>
  </si>
  <si>
    <t>Dar2020</t>
  </si>
  <si>
    <t>Huissensestraat 50+3</t>
  </si>
  <si>
    <t>Arnhem</t>
  </si>
  <si>
    <t>0687035118</t>
  </si>
  <si>
    <t>NL003362865B34</t>
  </si>
  <si>
    <t>ekorenhold@gmail.com</t>
  </si>
  <si>
    <t>Darebiba-afbouw</t>
  </si>
  <si>
    <t>Stellendamstraat 207</t>
  </si>
  <si>
    <t>2729LJ</t>
  </si>
  <si>
    <t>0634544672</t>
  </si>
  <si>
    <t>NL004636676B68</t>
  </si>
  <si>
    <t>daresazdov12@gmail.com</t>
  </si>
  <si>
    <t>Sazdov</t>
  </si>
  <si>
    <t>Dari 1521</t>
  </si>
  <si>
    <t>V.R.</t>
  </si>
  <si>
    <t>0612407774</t>
  </si>
  <si>
    <t>NL004840050B92</t>
  </si>
  <si>
    <t>valio.e36@gmail.com</t>
  </si>
  <si>
    <t>Darina 90 VOF (2)</t>
  </si>
  <si>
    <t>D.R.</t>
  </si>
  <si>
    <t>Linnaeusstraat 9</t>
  </si>
  <si>
    <t>2522GA</t>
  </si>
  <si>
    <t>0636501534</t>
  </si>
  <si>
    <t>NL860380439B01</t>
  </si>
  <si>
    <t>darina.tatarova90@gmail.com</t>
  </si>
  <si>
    <t>Tatarova</t>
  </si>
  <si>
    <t>Davex Bouw VOF</t>
  </si>
  <si>
    <t>V.A.</t>
  </si>
  <si>
    <t>Beetsstraat 125</t>
  </si>
  <si>
    <t>2524PL</t>
  </si>
  <si>
    <t>0684410813</t>
  </si>
  <si>
    <t>NL866259624B01</t>
  </si>
  <si>
    <t>vencislav_hadjiev@abv.bg</t>
  </si>
  <si>
    <t>Hadzhiev</t>
  </si>
  <si>
    <t>De Huisheld</t>
  </si>
  <si>
    <t>R.M.</t>
  </si>
  <si>
    <t>Merantihout 14</t>
  </si>
  <si>
    <t>Houten</t>
  </si>
  <si>
    <t>3991MW</t>
  </si>
  <si>
    <t>0686434647</t>
  </si>
  <si>
    <t>NL40INGB0111151309</t>
  </si>
  <si>
    <t>NL005243988B16</t>
  </si>
  <si>
    <t>kmetroman1979@gmail.com</t>
  </si>
  <si>
    <t>Kmet</t>
  </si>
  <si>
    <t>Dedko M&amp;M</t>
  </si>
  <si>
    <t>I.V.</t>
  </si>
  <si>
    <t>Beukstraat 10C</t>
  </si>
  <si>
    <t>2565 ZA</t>
  </si>
  <si>
    <t>0686463202</t>
  </si>
  <si>
    <t>NL002464412B94</t>
  </si>
  <si>
    <t>ivailoyanev0104@gmail.com</t>
  </si>
  <si>
    <t>Yanev</t>
  </si>
  <si>
    <t>Delor VOF</t>
  </si>
  <si>
    <t>H.N.</t>
  </si>
  <si>
    <t>Troelstrakade 359</t>
  </si>
  <si>
    <t>2531AH</t>
  </si>
  <si>
    <t>0686447117</t>
  </si>
  <si>
    <t>NL862679618B01</t>
  </si>
  <si>
    <t>delor8386@gmail.com</t>
  </si>
  <si>
    <t>Asan</t>
  </si>
  <si>
    <t>D.O.</t>
  </si>
  <si>
    <t>Gebroken Meeldijk 66, Unit 1.15</t>
  </si>
  <si>
    <t>Barendrecht</t>
  </si>
  <si>
    <t>2991 VD</t>
  </si>
  <si>
    <t>+31628813127</t>
  </si>
  <si>
    <t>NL863179344B01</t>
  </si>
  <si>
    <t>info@denexuitzendbureau.nl</t>
  </si>
  <si>
    <t>Ibryam</t>
  </si>
  <si>
    <t>DENI SOLAR</t>
  </si>
  <si>
    <t>R.F.</t>
  </si>
  <si>
    <t>Bilthovenselaan 5</t>
  </si>
  <si>
    <t>2574TE</t>
  </si>
  <si>
    <t>0684796914</t>
  </si>
  <si>
    <t>NL003151325B75</t>
  </si>
  <si>
    <t>rumenandjurov@abv.bg</t>
  </si>
  <si>
    <t>Andzhurov</t>
  </si>
  <si>
    <t>Denis Beheer B.V.</t>
  </si>
  <si>
    <t>Kievit 8</t>
  </si>
  <si>
    <t>2991ME</t>
  </si>
  <si>
    <t>0628813127</t>
  </si>
  <si>
    <t>NL02INGB0006220497</t>
  </si>
  <si>
    <t>NL858636554B01</t>
  </si>
  <si>
    <t>algemeen@denis-express.nl</t>
  </si>
  <si>
    <t>Denis Beheer BV en Denis Express BV Fiscale Eenheid</t>
  </si>
  <si>
    <t>denisbeheerfe@zzp-nl.nl</t>
  </si>
  <si>
    <t>Denis Express B.V.</t>
  </si>
  <si>
    <t>Gebroken Meeldijk 66 Unit 1.15</t>
  </si>
  <si>
    <t>NL858637972B01</t>
  </si>
  <si>
    <t>Info@denis-express.nl</t>
  </si>
  <si>
    <t>Denis Kulev 02</t>
  </si>
  <si>
    <t>Havendijk 101</t>
  </si>
  <si>
    <t>3114EA</t>
  </si>
  <si>
    <t>0628819143</t>
  </si>
  <si>
    <t>NL004095429B48</t>
  </si>
  <si>
    <t>deniskulev26@gmail.com</t>
  </si>
  <si>
    <t>Kulev</t>
  </si>
  <si>
    <t>Dennis 90 VOF</t>
  </si>
  <si>
    <t>D.M.</t>
  </si>
  <si>
    <t>David Blesstraat 88</t>
  </si>
  <si>
    <t>2526BK</t>
  </si>
  <si>
    <t>0638151816</t>
  </si>
  <si>
    <t>NL858464834B01</t>
  </si>
  <si>
    <t>dennis90vof@zzp-nl.nl</t>
  </si>
  <si>
    <t>Kosov</t>
  </si>
  <si>
    <t>Dennis_2000</t>
  </si>
  <si>
    <t>D.Z.</t>
  </si>
  <si>
    <t>Maarsbergenstraat 48</t>
  </si>
  <si>
    <t>2546SR</t>
  </si>
  <si>
    <t>0684167398</t>
  </si>
  <si>
    <t>NL004977874B15</t>
  </si>
  <si>
    <t>shterev001@gmail.com</t>
  </si>
  <si>
    <t>Shterev</t>
  </si>
  <si>
    <t>Deo Max ZZP</t>
  </si>
  <si>
    <t>M.D.</t>
  </si>
  <si>
    <t>Van Musschenbroekstraat 140</t>
  </si>
  <si>
    <t>2522AV</t>
  </si>
  <si>
    <t>0687911768</t>
  </si>
  <si>
    <t>NL005089560B52</t>
  </si>
  <si>
    <t>deqnov.mihail@gmail.com</t>
  </si>
  <si>
    <t>Deyanov</t>
  </si>
  <si>
    <t>Depan Consult VOF</t>
  </si>
  <si>
    <t>Lelievaart 66</t>
  </si>
  <si>
    <t>2724SG</t>
  </si>
  <si>
    <t>0687826965</t>
  </si>
  <si>
    <t>NL860863116B01</t>
  </si>
  <si>
    <t>jasen1185@gmail.com</t>
  </si>
  <si>
    <t>Pandova</t>
  </si>
  <si>
    <t>Dermendzhiev</t>
  </si>
  <si>
    <t>Werkhovenstraat 3</t>
  </si>
  <si>
    <t>2546VA</t>
  </si>
  <si>
    <t>0686322302</t>
  </si>
  <si>
    <t>NL004138467B27</t>
  </si>
  <si>
    <t>hristo0204@gmail.com</t>
  </si>
  <si>
    <t>Desi Bouw</t>
  </si>
  <si>
    <t>Wolvenrade 29</t>
  </si>
  <si>
    <t>2544VJ</t>
  </si>
  <si>
    <t>0682944341</t>
  </si>
  <si>
    <t>NL002463275B45</t>
  </si>
  <si>
    <t>tdelevv@gmail.com</t>
  </si>
  <si>
    <t>Delev</t>
  </si>
  <si>
    <t>Desinka 71</t>
  </si>
  <si>
    <t>M.M.</t>
  </si>
  <si>
    <t>Rijkswijkseweg 522</t>
  </si>
  <si>
    <t>2516HT</t>
  </si>
  <si>
    <t>0616093154</t>
  </si>
  <si>
    <t>NL29596852701</t>
  </si>
  <si>
    <t>milcho1924@gmail.com</t>
  </si>
  <si>
    <t>Yordanov</t>
  </si>
  <si>
    <t>Deston5</t>
  </si>
  <si>
    <t>А.С.</t>
  </si>
  <si>
    <t>Beijerstraat 142</t>
  </si>
  <si>
    <t>2572BJ</t>
  </si>
  <si>
    <t>0639435185</t>
  </si>
  <si>
    <t>NL002474861B46</t>
  </si>
  <si>
    <t>tonimaistor@gmail.com</t>
  </si>
  <si>
    <t>Maznev</t>
  </si>
  <si>
    <t>Diana0808</t>
  </si>
  <si>
    <t>D.S.</t>
  </si>
  <si>
    <t>Nunspeetlaan 383</t>
  </si>
  <si>
    <t>2573GH</t>
  </si>
  <si>
    <t>0645639378</t>
  </si>
  <si>
    <t>NL003888190B83</t>
  </si>
  <si>
    <t>dianaatanasova39@gmail.com</t>
  </si>
  <si>
    <t>Atanasova</t>
  </si>
  <si>
    <t>DIM</t>
  </si>
  <si>
    <t>Hulshorststraat 6</t>
  </si>
  <si>
    <t>0643820745</t>
  </si>
  <si>
    <t>NL002477113B51</t>
  </si>
  <si>
    <t>daneljan@live.nl</t>
  </si>
  <si>
    <t>Bakay</t>
  </si>
  <si>
    <t>Dimitar Onderhoud</t>
  </si>
  <si>
    <t>Kaapseplein 137</t>
  </si>
  <si>
    <t>2572 NH</t>
  </si>
  <si>
    <t>0611836814</t>
  </si>
  <si>
    <t>NL002482366B13</t>
  </si>
  <si>
    <t>pushkin@mail.bg</t>
  </si>
  <si>
    <t>Dimitar Semov</t>
  </si>
  <si>
    <t>Hardewijkstraat 43</t>
  </si>
  <si>
    <t>2573ZB</t>
  </si>
  <si>
    <t>0684359773</t>
  </si>
  <si>
    <t>NL002480935B88</t>
  </si>
  <si>
    <t>mitko7120@gmail.com</t>
  </si>
  <si>
    <t>Semov</t>
  </si>
  <si>
    <t>Dimovski-T Stucadoorsbedrijf</t>
  </si>
  <si>
    <t>0634544671</t>
  </si>
  <si>
    <t>NL003573234B56</t>
  </si>
  <si>
    <t>tosemk63@gmail.com</t>
  </si>
  <si>
    <t>Dimovski</t>
  </si>
  <si>
    <t>DIZ Bouw</t>
  </si>
  <si>
    <t>Oudemansstraat 382</t>
  </si>
  <si>
    <t>2522TG</t>
  </si>
  <si>
    <t>0614850265</t>
  </si>
  <si>
    <t>NL002442702B29</t>
  </si>
  <si>
    <t>dobbrin.67@gmail.com</t>
  </si>
  <si>
    <t>Zafirov</t>
  </si>
  <si>
    <t>Dizhak Bouw</t>
  </si>
  <si>
    <t>N.</t>
  </si>
  <si>
    <t>Beeklaan 225a</t>
  </si>
  <si>
    <t>2562AG</t>
  </si>
  <si>
    <t>0687252199</t>
  </si>
  <si>
    <t>NL005027436B60</t>
  </si>
  <si>
    <t>maluk250190@gmail.com</t>
  </si>
  <si>
    <t>Dizhak</t>
  </si>
  <si>
    <t>Djani.R Bouw VOF</t>
  </si>
  <si>
    <t>Vinkensteynstraat 130</t>
  </si>
  <si>
    <t>2562TV</t>
  </si>
  <si>
    <t>0616282515</t>
  </si>
  <si>
    <t>NL861094220B01</t>
  </si>
  <si>
    <t>ramadan.h.arif@gmail.com</t>
  </si>
  <si>
    <t>Arif</t>
  </si>
  <si>
    <t>DJR-Services</t>
  </si>
  <si>
    <t>Zegenstraat 5</t>
  </si>
  <si>
    <t>3082XM</t>
  </si>
  <si>
    <t>0625218822</t>
  </si>
  <si>
    <t>NL57INGB0774265507</t>
  </si>
  <si>
    <t>NL004612460B53</t>
  </si>
  <si>
    <t>david.lashkov@abv.bg</t>
  </si>
  <si>
    <t>Lashkov</t>
  </si>
  <si>
    <t>DMK Totaal Afbouw B.V.</t>
  </si>
  <si>
    <t>NL860028902B01</t>
  </si>
  <si>
    <t>denislavkosov@gmail.com</t>
  </si>
  <si>
    <t>DMK Totaal B.V.</t>
  </si>
  <si>
    <t>NL860028185B01</t>
  </si>
  <si>
    <t>dmktotaal@zzp-nl.nl</t>
  </si>
  <si>
    <t>Donev VOF</t>
  </si>
  <si>
    <t>Y.A.</t>
  </si>
  <si>
    <t>Guido Gezellestraat 7</t>
  </si>
  <si>
    <t>2524CK</t>
  </si>
  <si>
    <t>0616030426</t>
  </si>
  <si>
    <t>NL865667597B01</t>
  </si>
  <si>
    <t>qnko_atanasov881988@abv.bg</t>
  </si>
  <si>
    <t>Donev</t>
  </si>
  <si>
    <t>Doons Daam</t>
  </si>
  <si>
    <t>Mijnsherenplein 52B</t>
  </si>
  <si>
    <t>3081CT</t>
  </si>
  <si>
    <t>0685241538</t>
  </si>
  <si>
    <t>NL002512976B03</t>
  </si>
  <si>
    <t>yuriymanolovdonev@gmail.com</t>
  </si>
  <si>
    <t>Dora Onderhoud VOF</t>
  </si>
  <si>
    <t>Goeverneurlaan 571</t>
  </si>
  <si>
    <t>2523CG</t>
  </si>
  <si>
    <t>0626590314</t>
  </si>
  <si>
    <t>NL46INGB0008019152</t>
  </si>
  <si>
    <t>NL857989741B01</t>
  </si>
  <si>
    <t>marin.marinov5187@gmail.com</t>
  </si>
  <si>
    <t>Mirchev</t>
  </si>
  <si>
    <t>Doverie Bouw</t>
  </si>
  <si>
    <t>I.T.</t>
  </si>
  <si>
    <t>Guntersteinweg 383</t>
  </si>
  <si>
    <t>2531KA</t>
  </si>
  <si>
    <t>0621371757</t>
  </si>
  <si>
    <t>NL16INGB0674729501</t>
  </si>
  <si>
    <t>NL003983916B06</t>
  </si>
  <si>
    <t>vipsitistyle@gmail.com</t>
  </si>
  <si>
    <t>Drago Steigerbouw</t>
  </si>
  <si>
    <t>D.D.</t>
  </si>
  <si>
    <t>Jan Wapstraat 90</t>
  </si>
  <si>
    <t>2523GK</t>
  </si>
  <si>
    <t>0654113151</t>
  </si>
  <si>
    <t>NL002456958B56</t>
  </si>
  <si>
    <t>ddbonev@abv.bg</t>
  </si>
  <si>
    <t>Dream Future</t>
  </si>
  <si>
    <t>Garderenstraat 23</t>
  </si>
  <si>
    <t>2573VW</t>
  </si>
  <si>
    <t>+31687106041</t>
  </si>
  <si>
    <t>NL003729174B89</t>
  </si>
  <si>
    <t>dream2021future@gmail.com</t>
  </si>
  <si>
    <t>Makedonska</t>
  </si>
  <si>
    <t>Dream Wild</t>
  </si>
  <si>
    <t>R.G.</t>
  </si>
  <si>
    <t>Melis Stokelaan 195</t>
  </si>
  <si>
    <t>2533CS</t>
  </si>
  <si>
    <t>0685261175</t>
  </si>
  <si>
    <t>NL005092719B42</t>
  </si>
  <si>
    <t>dreamwild1992@gmail.com</t>
  </si>
  <si>
    <t>Genadieva</t>
  </si>
  <si>
    <t>Dudu VOF</t>
  </si>
  <si>
    <t>Velpsestraat 12</t>
  </si>
  <si>
    <t>2573SM</t>
  </si>
  <si>
    <t>0681167822</t>
  </si>
  <si>
    <t>NL864286454B01</t>
  </si>
  <si>
    <t>krepost200.om@gmail.com</t>
  </si>
  <si>
    <t>Mehmed</t>
  </si>
  <si>
    <t>DVD Trans VOF</t>
  </si>
  <si>
    <t>Parkdreef 115</t>
  </si>
  <si>
    <t>2724ES</t>
  </si>
  <si>
    <t>0614493487</t>
  </si>
  <si>
    <t>NL90 INGB 0009 6359 32</t>
  </si>
  <si>
    <t>NL866108919B01</t>
  </si>
  <si>
    <t>dvdtrans19@gmail.com</t>
  </si>
  <si>
    <t>Vladimirov</t>
  </si>
  <si>
    <t>Ecomdimi</t>
  </si>
  <si>
    <t>D.T.</t>
  </si>
  <si>
    <t>Minstreelstraat 72</t>
  </si>
  <si>
    <t>2531EE</t>
  </si>
  <si>
    <t>0619655222</t>
  </si>
  <si>
    <t>NL92INGB0111500737</t>
  </si>
  <si>
    <t>NL005241084B59</t>
  </si>
  <si>
    <t>ecomdimi@gmail.com</t>
  </si>
  <si>
    <t>Trenov</t>
  </si>
  <si>
    <t>Edi 2008 VOF</t>
  </si>
  <si>
    <t>E.P.</t>
  </si>
  <si>
    <t>Trekweg 197</t>
  </si>
  <si>
    <t>Den Haag</t>
  </si>
  <si>
    <t>2516SH</t>
  </si>
  <si>
    <t>0657401355</t>
  </si>
  <si>
    <t>NL82INGB0391293052</t>
  </si>
  <si>
    <t>NL860447893B01</t>
  </si>
  <si>
    <t>edi__2008@hotmail.com</t>
  </si>
  <si>
    <t>Hadzhiyski</t>
  </si>
  <si>
    <t>Edi81 VOF</t>
  </si>
  <si>
    <t>E.S.</t>
  </si>
  <si>
    <t>Drebbelstraat 304</t>
  </si>
  <si>
    <t>2522DJ</t>
  </si>
  <si>
    <t>0610969468</t>
  </si>
  <si>
    <t>NL98INGB0007293917</t>
  </si>
  <si>
    <t>NL860862781B01</t>
  </si>
  <si>
    <t>emilhadzhiev81@gmail.com</t>
  </si>
  <si>
    <t>Edrev Bouw</t>
  </si>
  <si>
    <t>H.D.</t>
  </si>
  <si>
    <t>Flakkeesestraat 101C</t>
  </si>
  <si>
    <t>3083CE</t>
  </si>
  <si>
    <t>0685221439</t>
  </si>
  <si>
    <t>NL53INGB0008551265</t>
  </si>
  <si>
    <t>NL002465755B35</t>
  </si>
  <si>
    <t>hristoedrev@abv.bg</t>
  </si>
  <si>
    <t>Edrev</t>
  </si>
  <si>
    <t>Elshadai</t>
  </si>
  <si>
    <t>Z.A.</t>
  </si>
  <si>
    <t>0619881027</t>
  </si>
  <si>
    <t>NL16INGB0113193009</t>
  </si>
  <si>
    <t>NL005314568B49</t>
  </si>
  <si>
    <t>zapryankaatanasova246@gmail.com</t>
  </si>
  <si>
    <t>Manusheva</t>
  </si>
  <si>
    <t>EM-68 - gemaild - Achterstand BORA</t>
  </si>
  <si>
    <t>E.R.</t>
  </si>
  <si>
    <t>Optenoord 12</t>
  </si>
  <si>
    <t>3079ME</t>
  </si>
  <si>
    <t>0686153479</t>
  </si>
  <si>
    <t>NL64INGB0007930461</t>
  </si>
  <si>
    <t>NL003132600B14</t>
  </si>
  <si>
    <t>emilenov1968@gmail.com</t>
  </si>
  <si>
    <t>Milenov</t>
  </si>
  <si>
    <t>Emo 69</t>
  </si>
  <si>
    <t>E.O.</t>
  </si>
  <si>
    <t>Steenwijklaan 172</t>
  </si>
  <si>
    <t>2541RR</t>
  </si>
  <si>
    <t>0684373059</t>
  </si>
  <si>
    <t>NL75INGB0009580136</t>
  </si>
  <si>
    <t>NL002517523B14</t>
  </si>
  <si>
    <t>uzunov.emo69@gmail.com</t>
  </si>
  <si>
    <t>Uzunov</t>
  </si>
  <si>
    <t>Erik99</t>
  </si>
  <si>
    <t>E.Z.</t>
  </si>
  <si>
    <t>Rhododendronstraat 36</t>
  </si>
  <si>
    <t>2563TA</t>
  </si>
  <si>
    <t>0681223585</t>
  </si>
  <si>
    <t>NL93INGB0398509751</t>
  </si>
  <si>
    <t>NL004475133B22</t>
  </si>
  <si>
    <t>halilerkan851@gmail.com</t>
  </si>
  <si>
    <t>Halil</t>
  </si>
  <si>
    <t>Erko 90 Bouwbedrijf</t>
  </si>
  <si>
    <t>E.M.</t>
  </si>
  <si>
    <t>Goeverneurlaan 225</t>
  </si>
  <si>
    <t>0615588077</t>
  </si>
  <si>
    <t>NL33INGB0007156862</t>
  </si>
  <si>
    <t>NL002498814B03</t>
  </si>
  <si>
    <t>erko90bouwbedrijf@gmail.com</t>
  </si>
  <si>
    <t>Chalak</t>
  </si>
  <si>
    <t>ESHR B.V.</t>
  </si>
  <si>
    <t>D.P.</t>
  </si>
  <si>
    <t>Parnassusweg 967</t>
  </si>
  <si>
    <t>Amsterdam</t>
  </si>
  <si>
    <t>1082LZ</t>
  </si>
  <si>
    <t>0619232971</t>
  </si>
  <si>
    <t>NL86INGB0399191011</t>
  </si>
  <si>
    <t>NL864416465B01</t>
  </si>
  <si>
    <t>office@eshr.nl</t>
  </si>
  <si>
    <t>Dyakov</t>
  </si>
  <si>
    <t>Esil Klussenbedrijf</t>
  </si>
  <si>
    <t>Y.Z.</t>
  </si>
  <si>
    <t>Schoutendreef 251</t>
  </si>
  <si>
    <t>2542LH</t>
  </si>
  <si>
    <t>0685512865</t>
  </si>
  <si>
    <t>NL48INGB0009018798</t>
  </si>
  <si>
    <t>NL002511564B04</t>
  </si>
  <si>
    <t>yusein_1988_esil@hotmail.com</t>
  </si>
  <si>
    <t>Evgeni Danailov</t>
  </si>
  <si>
    <t>E.I.</t>
  </si>
  <si>
    <t>Soerenseweg 3</t>
  </si>
  <si>
    <t>Apeldoorn</t>
  </si>
  <si>
    <t>7314CA</t>
  </si>
  <si>
    <t>0616363437</t>
  </si>
  <si>
    <t>NL45INGB0007181769</t>
  </si>
  <si>
    <t>NL003490702B18</t>
  </si>
  <si>
    <t>eevvoo86@gmail.com</t>
  </si>
  <si>
    <t>Danailov</t>
  </si>
  <si>
    <t>EVN Onderhoudsbedrijf</t>
  </si>
  <si>
    <t>E.V.</t>
  </si>
  <si>
    <t>Jan ten Brinkstraat 122</t>
  </si>
  <si>
    <t>2522JH</t>
  </si>
  <si>
    <t>0687120008</t>
  </si>
  <si>
    <t>NL32INGB0675252334</t>
  </si>
  <si>
    <t>NL004067008B48</t>
  </si>
  <si>
    <t>evnbouw@gmail.com</t>
  </si>
  <si>
    <t>FA Cleaning Solutions</t>
  </si>
  <si>
    <t>F.A.</t>
  </si>
  <si>
    <t>Tamboerijnlaan 179</t>
  </si>
  <si>
    <t>2287 TG</t>
  </si>
  <si>
    <t>0681049378</t>
  </si>
  <si>
    <t>NL14INGB0008315772</t>
  </si>
  <si>
    <t>NL003091109B80</t>
  </si>
  <si>
    <t>faa397937@gmail.com</t>
  </si>
  <si>
    <t>FarmToHome B.V.</t>
  </si>
  <si>
    <t>0633388115</t>
  </si>
  <si>
    <t>NL12INGB0102784205</t>
  </si>
  <si>
    <t>NL865725135B01</t>
  </si>
  <si>
    <t>maksym@farmtohome.info</t>
  </si>
  <si>
    <t>Fasma Transport</t>
  </si>
  <si>
    <t>I.K.</t>
  </si>
  <si>
    <t>Wolvenrade 21</t>
  </si>
  <si>
    <t>0616699704</t>
  </si>
  <si>
    <t>NL34ABNA0542720477</t>
  </si>
  <si>
    <t>NL002455498B04</t>
  </si>
  <si>
    <t>i.suleymanov@hotmail.com</t>
  </si>
  <si>
    <t>Syuleymanov</t>
  </si>
  <si>
    <t>FEA Loonbedrijf</t>
  </si>
  <si>
    <t>0618389007</t>
  </si>
  <si>
    <t>NL30INGB0006532818</t>
  </si>
  <si>
    <t>NL003337539B18</t>
  </si>
  <si>
    <t>feqmollova82@gmail.com</t>
  </si>
  <si>
    <t>Molla</t>
  </si>
  <si>
    <t>Feimov (Castle Trans)</t>
  </si>
  <si>
    <t>Convivastraat 21</t>
  </si>
  <si>
    <t>2522XD</t>
  </si>
  <si>
    <t>0617104403</t>
  </si>
  <si>
    <t>NL03INGB0005065597</t>
  </si>
  <si>
    <t>NL002455930B93</t>
  </si>
  <si>
    <t>feimov.zzp@gmail.com</t>
  </si>
  <si>
    <t>Ahmedov</t>
  </si>
  <si>
    <t>FF Solar (Bulgarian Ticket Center)</t>
  </si>
  <si>
    <t>F.F.</t>
  </si>
  <si>
    <t>Jan Vosstraat 78</t>
  </si>
  <si>
    <t>2533TZ</t>
  </si>
  <si>
    <t>0682500708</t>
  </si>
  <si>
    <t>NL002440760B47</t>
  </si>
  <si>
    <t>f.kehayov@hotmail.com</t>
  </si>
  <si>
    <t>Kehayov</t>
  </si>
  <si>
    <t>Fifty Seas B.V.</t>
  </si>
  <si>
    <t>Hullenbergweg 278</t>
  </si>
  <si>
    <t>1101BV</t>
  </si>
  <si>
    <t>NL865957502B01</t>
  </si>
  <si>
    <t>Filip V.O.F.</t>
  </si>
  <si>
    <t>Miamihof 36</t>
  </si>
  <si>
    <t>0641098978</t>
  </si>
  <si>
    <t>NL90INGB0006817597</t>
  </si>
  <si>
    <t>NL860513609B01</t>
  </si>
  <si>
    <t>filip.shetev@gmail.com</t>
  </si>
  <si>
    <t>Shetev</t>
  </si>
  <si>
    <t>FISCALE EENHEID Sol Works en Solaris Montage</t>
  </si>
  <si>
    <t>V.P.</t>
  </si>
  <si>
    <t>Stephensonstraat 123</t>
  </si>
  <si>
    <t>Hoogeveen</t>
  </si>
  <si>
    <t>7903AS</t>
  </si>
  <si>
    <t>NL826184352B01</t>
  </si>
  <si>
    <t>Peev</t>
  </si>
  <si>
    <t>Flyover Solutions</t>
  </si>
  <si>
    <t>T.V.</t>
  </si>
  <si>
    <t>Damasstraat 172</t>
  </si>
  <si>
    <t>2522TZ</t>
  </si>
  <si>
    <t>0633257510</t>
  </si>
  <si>
    <t>NL56INGB0109267281</t>
  </si>
  <si>
    <t>NL003718326B42</t>
  </si>
  <si>
    <t>info@flyoversolutions.nl</t>
  </si>
  <si>
    <t>Velev</t>
  </si>
  <si>
    <t>FOT Bouw</t>
  </si>
  <si>
    <t>V.S.</t>
  </si>
  <si>
    <t>Linnaeusstraat 96</t>
  </si>
  <si>
    <t>2522GV</t>
  </si>
  <si>
    <t>0657836755</t>
  </si>
  <si>
    <t>NL07INGB0009606192</t>
  </si>
  <si>
    <t>NL003477665B78</t>
  </si>
  <si>
    <t>vasilfotev7@gmail.com</t>
  </si>
  <si>
    <t>Fotev</t>
  </si>
  <si>
    <t>Galenda</t>
  </si>
  <si>
    <t>Werkzijde 27</t>
  </si>
  <si>
    <t>2543CA</t>
  </si>
  <si>
    <t>+31633357772</t>
  </si>
  <si>
    <t>NL623918250B01</t>
  </si>
  <si>
    <t>misha.galenda@gmail.com</t>
  </si>
  <si>
    <t>GALIN</t>
  </si>
  <si>
    <t>G.S.</t>
  </si>
  <si>
    <t>Alberdingk Thijmstraat 180</t>
  </si>
  <si>
    <t>2524HR</t>
  </si>
  <si>
    <t>0684801782</t>
  </si>
  <si>
    <t>NL66INGB0008010353</t>
  </si>
  <si>
    <t>NL002470593B46</t>
  </si>
  <si>
    <t>galin.12@hotmail.com</t>
  </si>
  <si>
    <t>GAV Diensten</t>
  </si>
  <si>
    <t>G.A.</t>
  </si>
  <si>
    <t>Cilliersstraat 11</t>
  </si>
  <si>
    <t>2572 AS</t>
  </si>
  <si>
    <t>0613878420</t>
  </si>
  <si>
    <t>NL22 INGB 0104 7511 85</t>
  </si>
  <si>
    <t>NL004959404B84</t>
  </si>
  <si>
    <t>velkovgosho914@gmail.com</t>
  </si>
  <si>
    <t>Velkov</t>
  </si>
  <si>
    <t>GDP Bouw</t>
  </si>
  <si>
    <t>G.D.</t>
  </si>
  <si>
    <t>Van Anrooijstraat 10</t>
  </si>
  <si>
    <t>Oss</t>
  </si>
  <si>
    <t>5343BC</t>
  </si>
  <si>
    <t>0685070458</t>
  </si>
  <si>
    <t>NL14INGB0007712335</t>
  </si>
  <si>
    <t>NL002474214B49</t>
  </si>
  <si>
    <t>gpanayotov77@gmail.com</t>
  </si>
  <si>
    <t>Panayotov</t>
  </si>
  <si>
    <t>Georgi 0609</t>
  </si>
  <si>
    <t>Bouwlustlaan 34</t>
  </si>
  <si>
    <t>2544JT</t>
  </si>
  <si>
    <t>0685482485</t>
  </si>
  <si>
    <t>NL17INGB0101658915</t>
  </si>
  <si>
    <t>NL004681218B91</t>
  </si>
  <si>
    <t>asen.velev9710@gmail.com</t>
  </si>
  <si>
    <t>Georgi Bouwservice</t>
  </si>
  <si>
    <t>Oostvaardersdijk 26</t>
  </si>
  <si>
    <t>Lelystad</t>
  </si>
  <si>
    <t>8243PA</t>
  </si>
  <si>
    <t>0687889604</t>
  </si>
  <si>
    <t>NL23INGB0006263187</t>
  </si>
  <si>
    <t>NL003151016B43</t>
  </si>
  <si>
    <t>georgi-ristana@hotmail.com</t>
  </si>
  <si>
    <t>Tsvetanov</t>
  </si>
  <si>
    <t>Germaneca</t>
  </si>
  <si>
    <t>Naarderstraat 149</t>
  </si>
  <si>
    <t>2574PE</t>
  </si>
  <si>
    <t>0633157131</t>
  </si>
  <si>
    <t>NL52INGB0008874584</t>
  </si>
  <si>
    <t>NL002502702B28</t>
  </si>
  <si>
    <t>geroashikov@gmail.com</t>
  </si>
  <si>
    <t>Ashikov</t>
  </si>
  <si>
    <t>GGG Bouw</t>
  </si>
  <si>
    <t>G.I.</t>
  </si>
  <si>
    <t>1e van Leyden Gaelstraat 394</t>
  </si>
  <si>
    <t>3134 LE</t>
  </si>
  <si>
    <t>0628860469</t>
  </si>
  <si>
    <t>NL28INGB0008626890</t>
  </si>
  <si>
    <t>NL002493680B37</t>
  </si>
  <si>
    <t>jorogipsa@yahoo.com</t>
  </si>
  <si>
    <t>Ginev Services</t>
  </si>
  <si>
    <t>H.K.</t>
  </si>
  <si>
    <t>Hongarenburg 557</t>
  </si>
  <si>
    <t>2591VV</t>
  </si>
  <si>
    <t>0645354013</t>
  </si>
  <si>
    <t>NL41INGB0675089018</t>
  </si>
  <si>
    <t>NL005250013B14</t>
  </si>
  <si>
    <t>icooo_icooo@abv.bg</t>
  </si>
  <si>
    <t>Ginev</t>
  </si>
  <si>
    <t>Gocha Bouw</t>
  </si>
  <si>
    <t>Floris Burgwal 173</t>
  </si>
  <si>
    <t>Capelle aan den IJssel</t>
  </si>
  <si>
    <t>2907PE</t>
  </si>
  <si>
    <t>0614536262</t>
  </si>
  <si>
    <t>NL15INGB0009222219</t>
  </si>
  <si>
    <t>NL002451035B13</t>
  </si>
  <si>
    <t>cavejskigoran@gmail.com</t>
  </si>
  <si>
    <t>Cavejski</t>
  </si>
  <si>
    <t>Gosho Barona</t>
  </si>
  <si>
    <t>G.H.</t>
  </si>
  <si>
    <t>David Blesstraat 68</t>
  </si>
  <si>
    <t>2526 BK</t>
  </si>
  <si>
    <t>0685815750</t>
  </si>
  <si>
    <t>NL02INGB0675924405</t>
  </si>
  <si>
    <t>NL004242710B24</t>
  </si>
  <si>
    <t>goshohristov174@gmail.com</t>
  </si>
  <si>
    <t>Goshev</t>
  </si>
  <si>
    <t>Gosim</t>
  </si>
  <si>
    <t>Lange Beestenmarkt 17</t>
  </si>
  <si>
    <t>2512EB</t>
  </si>
  <si>
    <t>0633794134</t>
  </si>
  <si>
    <t>NL53INGB0008433992</t>
  </si>
  <si>
    <t>NL002483662B86</t>
  </si>
  <si>
    <t>vladimir.sofkarovski@gmail.com</t>
  </si>
  <si>
    <t>Sofkarovski</t>
  </si>
  <si>
    <t>Gurbuz Bouw</t>
  </si>
  <si>
    <t>Vaillantlaan 90</t>
  </si>
  <si>
    <t>2526HM</t>
  </si>
  <si>
    <t>0685526093</t>
  </si>
  <si>
    <t>NL82INGB0398372500</t>
  </si>
  <si>
    <t>NL004545008B95</t>
  </si>
  <si>
    <t>sametgurbuz734@gmail.com</t>
  </si>
  <si>
    <t>Gurbuz</t>
  </si>
  <si>
    <t>GVG Transport</t>
  </si>
  <si>
    <t>G.V.</t>
  </si>
  <si>
    <t>Lou Jansenplein 29</t>
  </si>
  <si>
    <t>1063GV</t>
  </si>
  <si>
    <t>0642173143</t>
  </si>
  <si>
    <t>NL33INGB0009066986</t>
  </si>
  <si>
    <t>NL003090925B87</t>
  </si>
  <si>
    <t>gvgtransport19@gmail.com</t>
  </si>
  <si>
    <t>Hadzhiev Bouw</t>
  </si>
  <si>
    <t>V.V.</t>
  </si>
  <si>
    <t>Van Musschenbroekstraat 147</t>
  </si>
  <si>
    <t>2522AL</t>
  </si>
  <si>
    <t>0684280592</t>
  </si>
  <si>
    <t>NL48INGB0395701538</t>
  </si>
  <si>
    <t>NL004284268B34</t>
  </si>
  <si>
    <t>viktorhadzhiev616@gmail.com</t>
  </si>
  <si>
    <t>Hari69</t>
  </si>
  <si>
    <t>Z.V.</t>
  </si>
  <si>
    <t>Generaal Spoorlaan 175</t>
  </si>
  <si>
    <t>2283GE</t>
  </si>
  <si>
    <t>0618696754</t>
  </si>
  <si>
    <t>NL48INGB0006616496</t>
  </si>
  <si>
    <t>NL002493278B66</t>
  </si>
  <si>
    <t>zaharitatarov5@gmail.com</t>
  </si>
  <si>
    <t>Tatarov</t>
  </si>
  <si>
    <t>Hasan Yusuf Bouwbedrijf</t>
  </si>
  <si>
    <t>Losduinseweg 991 a</t>
  </si>
  <si>
    <t>2571 BA</t>
  </si>
  <si>
    <t>0634610574</t>
  </si>
  <si>
    <t>NL18INGB0100275095</t>
  </si>
  <si>
    <t>NL004732284B83</t>
  </si>
  <si>
    <t>hsn.yusuff@gmail.com</t>
  </si>
  <si>
    <t>Yusuf</t>
  </si>
  <si>
    <t>Haveli Bouw VOF</t>
  </si>
  <si>
    <t>V.H.</t>
  </si>
  <si>
    <t>Oranjelaan 12</t>
  </si>
  <si>
    <t>t Veld</t>
  </si>
  <si>
    <t>1735HR</t>
  </si>
  <si>
    <t>0684306771</t>
  </si>
  <si>
    <t>NL34INGB0006847802</t>
  </si>
  <si>
    <t>NL854960478B01</t>
  </si>
  <si>
    <t>ibryamv439@gmail.com</t>
  </si>
  <si>
    <t>Hayk Onderhoud</t>
  </si>
  <si>
    <t>H.</t>
  </si>
  <si>
    <t>0684696056</t>
  </si>
  <si>
    <t>NL45INGB0009015166</t>
  </si>
  <si>
    <t>NL002479770B97</t>
  </si>
  <si>
    <t>gaikgukasyan@gmail.com</t>
  </si>
  <si>
    <t>Ghukasyan</t>
  </si>
  <si>
    <t>Haykov Tegelzetter</t>
  </si>
  <si>
    <t>S.Y.</t>
  </si>
  <si>
    <t>Rederijkerstraat 125</t>
  </si>
  <si>
    <t>2531VJ</t>
  </si>
  <si>
    <t>0623367233</t>
  </si>
  <si>
    <t>NL38INGB0009691188</t>
  </si>
  <si>
    <t>NL003360841B14</t>
  </si>
  <si>
    <t>sergey.haykov@yahoo.es</t>
  </si>
  <si>
    <t>Haykov</t>
  </si>
  <si>
    <t>Helios-sp B.V.</t>
  </si>
  <si>
    <t>Piet Paaltjensstraat 41</t>
  </si>
  <si>
    <t>2522VG</t>
  </si>
  <si>
    <t>0622056410</t>
  </si>
  <si>
    <t>NL43INGB0109932935</t>
  </si>
  <si>
    <t>NL867080541B01</t>
  </si>
  <si>
    <t>info@helios-sp.com</t>
  </si>
  <si>
    <t>Minchev</t>
  </si>
  <si>
    <t>HKSR Bouw en Elektra</t>
  </si>
  <si>
    <t>H.S.</t>
  </si>
  <si>
    <t>Drebbelstraat 303</t>
  </si>
  <si>
    <t>2522DD</t>
  </si>
  <si>
    <t>0653526878</t>
  </si>
  <si>
    <t>NL21ABNA0817907092</t>
  </si>
  <si>
    <t>NL002491665B33</t>
  </si>
  <si>
    <t>hari.65.hk@gmail.com</t>
  </si>
  <si>
    <t>HNTC - TEVEEL OPEN BORATECH</t>
  </si>
  <si>
    <t>H.M.</t>
  </si>
  <si>
    <t>Van Vlootenstraat 48</t>
  </si>
  <si>
    <t>2523JE</t>
  </si>
  <si>
    <t>0612800772</t>
  </si>
  <si>
    <t>NL68INGB0100339476</t>
  </si>
  <si>
    <t>NL004721035B56</t>
  </si>
  <si>
    <t>hntc23@gmail.com</t>
  </si>
  <si>
    <t>Habil</t>
  </si>
  <si>
    <t>Hrisi 12 VOF</t>
  </si>
  <si>
    <t>V.B.</t>
  </si>
  <si>
    <t>Linnaeusstraat 83</t>
  </si>
  <si>
    <t>2522 GD</t>
  </si>
  <si>
    <t>+31685363304</t>
  </si>
  <si>
    <t>NL10INGB0008714805</t>
  </si>
  <si>
    <t>NL867290249B01</t>
  </si>
  <si>
    <t>hrisi12bouw@gmail.com</t>
  </si>
  <si>
    <t>Hrisim VOF</t>
  </si>
  <si>
    <t>Lyonnetstraat 15</t>
  </si>
  <si>
    <t>2522NA</t>
  </si>
  <si>
    <t>+359898538441</t>
  </si>
  <si>
    <t>NL77INGB0007649703</t>
  </si>
  <si>
    <t>NL857324305B01</t>
  </si>
  <si>
    <t>hristak72@gmail.com</t>
  </si>
  <si>
    <t>Hristo Angelov</t>
  </si>
  <si>
    <t>H.G.</t>
  </si>
  <si>
    <t>0687167442</t>
  </si>
  <si>
    <t>NL39INGB0008842905</t>
  </si>
  <si>
    <t>NL002492196B07</t>
  </si>
  <si>
    <t>durmusangelov@gmail.com</t>
  </si>
  <si>
    <t>Hristo Mihaylov1994 - gemaild - TEVEEL OPEN BORATECH</t>
  </si>
  <si>
    <t>Schalk Burgerstraat 302</t>
  </si>
  <si>
    <t>2572TG</t>
  </si>
  <si>
    <t>0686413568</t>
  </si>
  <si>
    <t>NL17INGB0675441463</t>
  </si>
  <si>
    <t>NL004111152B64</t>
  </si>
  <si>
    <t>hmihailov4@gmail.com</t>
  </si>
  <si>
    <t>Mihaylov</t>
  </si>
  <si>
    <t>Hunev Transport</t>
  </si>
  <si>
    <t>S.K.</t>
  </si>
  <si>
    <t>Borgesiusstraat 45 A02</t>
  </si>
  <si>
    <t>3038TC</t>
  </si>
  <si>
    <t>0686251660</t>
  </si>
  <si>
    <t>NL74INGB0009260151</t>
  </si>
  <si>
    <t>NL002515402B91</t>
  </si>
  <si>
    <t>stefanhunev@gmail.com</t>
  </si>
  <si>
    <t>Hunev</t>
  </si>
  <si>
    <t>HV Moerti VOF</t>
  </si>
  <si>
    <t>Van Vlotenstraat 10</t>
  </si>
  <si>
    <t>2523 JC</t>
  </si>
  <si>
    <t>0630025470</t>
  </si>
  <si>
    <t>NL48INGB0008703063</t>
  </si>
  <si>
    <t>NL859248574B01</t>
  </si>
  <si>
    <t>hv.moerti@yahoo.com</t>
  </si>
  <si>
    <t>Murtaza</t>
  </si>
  <si>
    <t>I van SZ</t>
  </si>
  <si>
    <t>I.Z.</t>
  </si>
  <si>
    <t>Hordijk 20</t>
  </si>
  <si>
    <t>3079DJ</t>
  </si>
  <si>
    <t>0681409116</t>
  </si>
  <si>
    <t>NL65INGB0104097698</t>
  </si>
  <si>
    <t>NL004816777B29</t>
  </si>
  <si>
    <t>ivan.zhelev72@gmail.com</t>
  </si>
  <si>
    <t>Ivanov</t>
  </si>
  <si>
    <t>I. Kostov Onderhoud</t>
  </si>
  <si>
    <t>I.P.</t>
  </si>
  <si>
    <t>De la Reyweg 783</t>
  </si>
  <si>
    <t>2571EV</t>
  </si>
  <si>
    <t>0621150506</t>
  </si>
  <si>
    <t>NL12ABNA0486995828</t>
  </si>
  <si>
    <t>NL002505804B46</t>
  </si>
  <si>
    <t>i.kostov.1976@abv.bg</t>
  </si>
  <si>
    <t>Kostov</t>
  </si>
  <si>
    <t>IboEmi VOF</t>
  </si>
  <si>
    <t>Convivastraat 96</t>
  </si>
  <si>
    <t>2522XK</t>
  </si>
  <si>
    <t>+31683565116</t>
  </si>
  <si>
    <t>NL75INGB0007773705</t>
  </si>
  <si>
    <t>NL860878582B01</t>
  </si>
  <si>
    <t>ibryam.veli@yahoo.com</t>
  </si>
  <si>
    <t>Veliev</t>
  </si>
  <si>
    <t>Ibram Bouwbedrijf</t>
  </si>
  <si>
    <t>Reitzstraat 66</t>
  </si>
  <si>
    <t>2571RT</t>
  </si>
  <si>
    <t>0633313904</t>
  </si>
  <si>
    <t>NL55INGB0007351921</t>
  </si>
  <si>
    <t>NL002456131B30</t>
  </si>
  <si>
    <t>keri_to@mail.bg</t>
  </si>
  <si>
    <t>Ferzi</t>
  </si>
  <si>
    <t>ID Savana</t>
  </si>
  <si>
    <t>Ogierssingel 169</t>
  </si>
  <si>
    <t>3076CR</t>
  </si>
  <si>
    <t>0648642144</t>
  </si>
  <si>
    <t>NL06INGB0008005710</t>
  </si>
  <si>
    <t>NL002515853B09</t>
  </si>
  <si>
    <t>devi.savana@hotmail.com</t>
  </si>
  <si>
    <t>Savana</t>
  </si>
  <si>
    <t>IGM Steigerbouw</t>
  </si>
  <si>
    <t>I.G.</t>
  </si>
  <si>
    <t>Plantsoen 2</t>
  </si>
  <si>
    <t>Geertruidenberg</t>
  </si>
  <si>
    <t>4931AT</t>
  </si>
  <si>
    <t>0638208336</t>
  </si>
  <si>
    <t>NL71INGB0008547255</t>
  </si>
  <si>
    <t>NL002475085B67</t>
  </si>
  <si>
    <t>mitew9@abv.bg</t>
  </si>
  <si>
    <t>Igro Bouw</t>
  </si>
  <si>
    <t>De Gheijnstraat 149</t>
  </si>
  <si>
    <t>2562NN</t>
  </si>
  <si>
    <t>0686364205</t>
  </si>
  <si>
    <t>NL11INGB0006277662</t>
  </si>
  <si>
    <t>NL003623669B04</t>
  </si>
  <si>
    <t>igorzubik0704@gmail.com</t>
  </si>
  <si>
    <t>Zubyk</t>
  </si>
  <si>
    <t>IJsberg Bouw VOF</t>
  </si>
  <si>
    <t>V.G.</t>
  </si>
  <si>
    <t>Guido Gezellestraat 34</t>
  </si>
  <si>
    <t>2524CM</t>
  </si>
  <si>
    <t>0685720791</t>
  </si>
  <si>
    <t>NL34INGB0006135628</t>
  </si>
  <si>
    <t>NL863579437B01</t>
  </si>
  <si>
    <t>ijsderg@gmail.com</t>
  </si>
  <si>
    <t>IK Modellenwerk</t>
  </si>
  <si>
    <t>Duvelkenshoeve 18</t>
  </si>
  <si>
    <t>Helmond</t>
  </si>
  <si>
    <t>5708VS</t>
  </si>
  <si>
    <t>0620826089</t>
  </si>
  <si>
    <t>NL77ABNA0458274607</t>
  </si>
  <si>
    <t>NL004996337B09</t>
  </si>
  <si>
    <t>ise.kreemers@gmail.com</t>
  </si>
  <si>
    <t>Kreemers</t>
  </si>
  <si>
    <t>Iliai</t>
  </si>
  <si>
    <t>I.B.</t>
  </si>
  <si>
    <t>General Foulkesweg 1-A</t>
  </si>
  <si>
    <t>Wageningen</t>
  </si>
  <si>
    <t>6703BG</t>
  </si>
  <si>
    <t>0687244865</t>
  </si>
  <si>
    <t>NL77INGB0103358439</t>
  </si>
  <si>
    <t>NL004840274B16</t>
  </si>
  <si>
    <t>samofalov220@gmail.com</t>
  </si>
  <si>
    <t>Samofalov</t>
  </si>
  <si>
    <t>Ilyo Trans VOF</t>
  </si>
  <si>
    <t>Regentesselaan 303B</t>
  </si>
  <si>
    <t>2562EC</t>
  </si>
  <si>
    <t>0684955515</t>
  </si>
  <si>
    <t>NL50INGB0009174447</t>
  </si>
  <si>
    <t>NL863975136B01</t>
  </si>
  <si>
    <t>asen2733@gmail.com</t>
  </si>
  <si>
    <t>IMH Transport ZZP</t>
  </si>
  <si>
    <t>Aarnout Drostlaan 69</t>
  </si>
  <si>
    <t>2523EL</t>
  </si>
  <si>
    <t>0681186039</t>
  </si>
  <si>
    <t>NL58INGB0007564006</t>
  </si>
  <si>
    <t>NL002461978B78</t>
  </si>
  <si>
    <t>ilhan_bg@live.nl</t>
  </si>
  <si>
    <t>Halibryam</t>
  </si>
  <si>
    <t>Irafef</t>
  </si>
  <si>
    <t>B.F.</t>
  </si>
  <si>
    <t>Blaricumseplein 41</t>
  </si>
  <si>
    <t>2574SP</t>
  </si>
  <si>
    <t>0633465391</t>
  </si>
  <si>
    <t>NL51INGB0006364727</t>
  </si>
  <si>
    <t>NL003036956B32</t>
  </si>
  <si>
    <t>besri.kichukov1980@gmail.com</t>
  </si>
  <si>
    <t>Kichukov</t>
  </si>
  <si>
    <t>ISKBouw</t>
  </si>
  <si>
    <t>I.S.</t>
  </si>
  <si>
    <t>Okanhout 79</t>
  </si>
  <si>
    <t>2719KV</t>
  </si>
  <si>
    <t>0686431236</t>
  </si>
  <si>
    <t>NL90INGB0114333270</t>
  </si>
  <si>
    <t>NL005286891B46</t>
  </si>
  <si>
    <t>iskbouw@hotmail.com</t>
  </si>
  <si>
    <t>Kalendzhi</t>
  </si>
  <si>
    <t>Ivanme</t>
  </si>
  <si>
    <t>Sont 58</t>
  </si>
  <si>
    <t>8226AB</t>
  </si>
  <si>
    <t>0620216223</t>
  </si>
  <si>
    <t>NL13INGB0103146385</t>
  </si>
  <si>
    <t>NL005207932B55</t>
  </si>
  <si>
    <t>donev751@gmail.com</t>
  </si>
  <si>
    <t>Ivon delivery NL</t>
  </si>
  <si>
    <t>N.I.</t>
  </si>
  <si>
    <t>Beatrixstraat 7</t>
  </si>
  <si>
    <t>Groot-Ammers</t>
  </si>
  <si>
    <t>2964BA</t>
  </si>
  <si>
    <t>0618676820</t>
  </si>
  <si>
    <t>NL53KNAB0776299166</t>
  </si>
  <si>
    <t>NL005221817B26</t>
  </si>
  <si>
    <t>nikolaypodgorski@gmail.com</t>
  </si>
  <si>
    <t>Podgolski</t>
  </si>
  <si>
    <t>IVP Bouw</t>
  </si>
  <si>
    <t>Hendrinaland 137</t>
  </si>
  <si>
    <t>`s-Gravenhage</t>
  </si>
  <si>
    <t>2591TD</t>
  </si>
  <si>
    <t>0681881362</t>
  </si>
  <si>
    <t>NL28INGB0007252497</t>
  </si>
  <si>
    <t>NL002486298B30</t>
  </si>
  <si>
    <t>ivelinmadok79@gmail.com</t>
  </si>
  <si>
    <t>IziZorg.zzp</t>
  </si>
  <si>
    <t>0657497075</t>
  </si>
  <si>
    <t>NL46INGB0111300290</t>
  </si>
  <si>
    <t>NL005240473B29</t>
  </si>
  <si>
    <t>fletcherizi@abv.bg</t>
  </si>
  <si>
    <t>Todorova</t>
  </si>
  <si>
    <t>Jeff Bouw</t>
  </si>
  <si>
    <t>Kepplerstraat 17</t>
  </si>
  <si>
    <t>2562 VE</t>
  </si>
  <si>
    <t>0627655672</t>
  </si>
  <si>
    <t>NL54INGB0007115356</t>
  </si>
  <si>
    <t>NL002509626B83</t>
  </si>
  <si>
    <t>jeffbouwbedrijf@gmail.com</t>
  </si>
  <si>
    <t>Dzheferski</t>
  </si>
  <si>
    <t>JMS Services VOF</t>
  </si>
  <si>
    <t>Engelsestraat 21</t>
  </si>
  <si>
    <t>3028CA</t>
  </si>
  <si>
    <t>0641664982</t>
  </si>
  <si>
    <t>NL12INGB0109233735</t>
  </si>
  <si>
    <t>NL868151786B01</t>
  </si>
  <si>
    <t>mersvet7@gmail.com</t>
  </si>
  <si>
    <t>Josh Bouwbedrijf</t>
  </si>
  <si>
    <t>0639181143</t>
  </si>
  <si>
    <t>NL13INGB0007955532</t>
  </si>
  <si>
    <t>NL003021273B44</t>
  </si>
  <si>
    <t>dzhoshkunchalak39@gmail.com</t>
  </si>
  <si>
    <t>Joste Bouw VOF</t>
  </si>
  <si>
    <t>J.</t>
  </si>
  <si>
    <t>Rijswijkseweg 223</t>
  </si>
  <si>
    <t>2516HD</t>
  </si>
  <si>
    <t>0685735382</t>
  </si>
  <si>
    <t>NL65INGB0009597970</t>
  </si>
  <si>
    <t>NL862502512B01</t>
  </si>
  <si>
    <t>jovgu130@gmail.com</t>
  </si>
  <si>
    <t>Gulev</t>
  </si>
  <si>
    <t>K&amp;S Uitzendbureau B.V.</t>
  </si>
  <si>
    <t>K.G.</t>
  </si>
  <si>
    <t>Antheunisstraat 60</t>
  </si>
  <si>
    <t>2522 ZG</t>
  </si>
  <si>
    <t>0652028800</t>
  </si>
  <si>
    <t>NL859189752B01</t>
  </si>
  <si>
    <t>k.d.mitevbouw@gmail.com</t>
  </si>
  <si>
    <t>K.P. Install</t>
  </si>
  <si>
    <t>Onder de Boompjes 81</t>
  </si>
  <si>
    <t>Gouda</t>
  </si>
  <si>
    <t>2802AS</t>
  </si>
  <si>
    <t>0643146357</t>
  </si>
  <si>
    <t>NL78INGB0675187389</t>
  </si>
  <si>
    <t>NL004034062B33</t>
  </si>
  <si>
    <t>davidkarypidis920@gmail.com</t>
  </si>
  <si>
    <t>Karypidis</t>
  </si>
  <si>
    <t>Kajen Onderhoudsbedrijf</t>
  </si>
  <si>
    <t>Voorzoom 10</t>
  </si>
  <si>
    <t>Wateringen</t>
  </si>
  <si>
    <t>2291MV</t>
  </si>
  <si>
    <t>0624292595</t>
  </si>
  <si>
    <t>NL39ABNA0412964651</t>
  </si>
  <si>
    <t>NL002455247B32</t>
  </si>
  <si>
    <t>feyses@hotmail.com</t>
  </si>
  <si>
    <t>Kala 21</t>
  </si>
  <si>
    <t>T.M.</t>
  </si>
  <si>
    <t>Junostraat 67</t>
  </si>
  <si>
    <t>2516BR</t>
  </si>
  <si>
    <t>0619909025</t>
  </si>
  <si>
    <t>NL40INGB0100428444</t>
  </si>
  <si>
    <t>NL004802771B80</t>
  </si>
  <si>
    <t>todorosoner@gmail.com</t>
  </si>
  <si>
    <t>Kalendzhi Bouwbedrijf VOF</t>
  </si>
  <si>
    <t>0614867360</t>
  </si>
  <si>
    <t>NL45INGB0008834552</t>
  </si>
  <si>
    <t>NL866834874B01</t>
  </si>
  <si>
    <t>kalbouw@hotmail.com</t>
  </si>
  <si>
    <t>Kalendzhiev</t>
  </si>
  <si>
    <t>N.N.</t>
  </si>
  <si>
    <t>0686405077</t>
  </si>
  <si>
    <t>NL98INGB0112174973</t>
  </si>
  <si>
    <t>NL005211737B51</t>
  </si>
  <si>
    <t>bouwkal@hotmail.com</t>
  </si>
  <si>
    <t>Kapitein Onderhoudsbedrijf VOF</t>
  </si>
  <si>
    <t>Rhenenstraat 168</t>
  </si>
  <si>
    <t>2546TZ</t>
  </si>
  <si>
    <t>0659677471</t>
  </si>
  <si>
    <t>NL56 INGB 0007 0339 37</t>
  </si>
  <si>
    <t>NL858461249B01</t>
  </si>
  <si>
    <t>gevreka77@gmail.com</t>
  </si>
  <si>
    <t>Kara 74</t>
  </si>
  <si>
    <t>Fahrenheitstraat 208A</t>
  </si>
  <si>
    <t>2561EH</t>
  </si>
  <si>
    <t>0651036809</t>
  </si>
  <si>
    <t>NL41INGB0007881114</t>
  </si>
  <si>
    <t>NL003596099B08</t>
  </si>
  <si>
    <t>asenkarbashev@gmail.com</t>
  </si>
  <si>
    <t>Karabashev</t>
  </si>
  <si>
    <t>Karmelita 83</t>
  </si>
  <si>
    <t>K.M.</t>
  </si>
  <si>
    <t>Schalk Burgerstraat 417</t>
  </si>
  <si>
    <t>2572TC</t>
  </si>
  <si>
    <t>0657969669</t>
  </si>
  <si>
    <t>NL90ABNA0870328433</t>
  </si>
  <si>
    <t>NL003160383B33</t>
  </si>
  <si>
    <t>kremena.borisova_@abv.bg</t>
  </si>
  <si>
    <t>Borisova</t>
  </si>
  <si>
    <t>Karsti Bouw</t>
  </si>
  <si>
    <t>K.Y.</t>
  </si>
  <si>
    <t>Deimanstraat 248</t>
  </si>
  <si>
    <t>0687648215</t>
  </si>
  <si>
    <t>NL67INGB0006850118</t>
  </si>
  <si>
    <t>NL0024979947B46</t>
  </si>
  <si>
    <t>karsti@zzp-nl.nl</t>
  </si>
  <si>
    <t>KD Afbouw &amp; Verbouw BV</t>
  </si>
  <si>
    <t>Van Diesenstraat 79</t>
  </si>
  <si>
    <t>2521EE</t>
  </si>
  <si>
    <t>NL53INGB0008086344</t>
  </si>
  <si>
    <t>NL858169745B01</t>
  </si>
  <si>
    <t>kdafbouw@gmail.com</t>
  </si>
  <si>
    <t>KD Trans VOF</t>
  </si>
  <si>
    <t>K.D.</t>
  </si>
  <si>
    <t>Uilenhoek 28</t>
  </si>
  <si>
    <t>Spijkenisse</t>
  </si>
  <si>
    <t>3201SL</t>
  </si>
  <si>
    <t>0685233359</t>
  </si>
  <si>
    <t>NL12INGB0008220651</t>
  </si>
  <si>
    <t>NL858494292B01</t>
  </si>
  <si>
    <t>koci0504@gmail.com</t>
  </si>
  <si>
    <t>Kostadinov</t>
  </si>
  <si>
    <t>Kirilov</t>
  </si>
  <si>
    <t>Troelstrakade 27b</t>
  </si>
  <si>
    <t>2531AA</t>
  </si>
  <si>
    <t>0684886176</t>
  </si>
  <si>
    <t>NL67INGB0008125377</t>
  </si>
  <si>
    <t>NL003377402B54</t>
  </si>
  <si>
    <t>xristohristov795@gmail.com</t>
  </si>
  <si>
    <t>Hristov</t>
  </si>
  <si>
    <t>Klenko VOF</t>
  </si>
  <si>
    <t>Mannagras 44</t>
  </si>
  <si>
    <t>Leeuwarden</t>
  </si>
  <si>
    <t>8935RV</t>
  </si>
  <si>
    <t>0623701722</t>
  </si>
  <si>
    <t>NL43INGB0007841793</t>
  </si>
  <si>
    <t>NL857934223B01</t>
  </si>
  <si>
    <t>klenkodarko@gmail.com</t>
  </si>
  <si>
    <t>Klenkoski</t>
  </si>
  <si>
    <t>Klusbedrijf Deyan</t>
  </si>
  <si>
    <t>Springfonteinstraat 60</t>
  </si>
  <si>
    <t>0684084906</t>
  </si>
  <si>
    <t>NL15INGB0008235729</t>
  </si>
  <si>
    <t>NL002518539B85</t>
  </si>
  <si>
    <t>dianmasarliev@gmail.com</t>
  </si>
  <si>
    <t>Masarliev</t>
  </si>
  <si>
    <t>Klusbedrijf Gursel</t>
  </si>
  <si>
    <t>Rotterdamsedijk 234-C</t>
  </si>
  <si>
    <t>3112BP</t>
  </si>
  <si>
    <t>0621677380</t>
  </si>
  <si>
    <t>NL95INGB0009188381</t>
  </si>
  <si>
    <t>NL002511672B02</t>
  </si>
  <si>
    <t>halimgyursel@gmail.com</t>
  </si>
  <si>
    <t>Halim</t>
  </si>
  <si>
    <t>Klusbedrijf Schiedam</t>
  </si>
  <si>
    <t>S. van Houtenlaan 101</t>
  </si>
  <si>
    <t>3118XG</t>
  </si>
  <si>
    <t>0683938524</t>
  </si>
  <si>
    <t>NL42INGB0007688163</t>
  </si>
  <si>
    <t>NL003206297B27</t>
  </si>
  <si>
    <t>safetkuc01@gmail.com</t>
  </si>
  <si>
    <t>Kuc</t>
  </si>
  <si>
    <t>Klusbedrijf Stoykov</t>
  </si>
  <si>
    <t>S.I.</t>
  </si>
  <si>
    <t>Jekschot 1</t>
  </si>
  <si>
    <t>Veghel</t>
  </si>
  <si>
    <t>5465PB</t>
  </si>
  <si>
    <t>0616113061</t>
  </si>
  <si>
    <t>NL16SNSB8840692584</t>
  </si>
  <si>
    <t>NL004829531B91</t>
  </si>
  <si>
    <t>klussenbedrijfstoykov@gmail.com</t>
  </si>
  <si>
    <t>Stoykov</t>
  </si>
  <si>
    <t>Klusbedrijf Valkov</t>
  </si>
  <si>
    <t>L.K.</t>
  </si>
  <si>
    <t>Dedemsvaartweg 1098</t>
  </si>
  <si>
    <t>0623936989</t>
  </si>
  <si>
    <t>NL70INGB0004106225</t>
  </si>
  <si>
    <t>NL002461301B60</t>
  </si>
  <si>
    <t>zarovalkov@gmail.com</t>
  </si>
  <si>
    <t>Valkov</t>
  </si>
  <si>
    <t>Klussenbedrijf Manafov V.O.F.</t>
  </si>
  <si>
    <t>I.F.</t>
  </si>
  <si>
    <t>De la Reyweg 139</t>
  </si>
  <si>
    <t>2571EC</t>
  </si>
  <si>
    <t>0657407059</t>
  </si>
  <si>
    <t>NL41INGB0006067893</t>
  </si>
  <si>
    <t>NL859151670B01</t>
  </si>
  <si>
    <t>nevinmanafova1@gmail.com</t>
  </si>
  <si>
    <t>Manafov</t>
  </si>
  <si>
    <t>Klussenbedrijf POKO-78</t>
  </si>
  <si>
    <t>De Heemstraat 150</t>
  </si>
  <si>
    <t>2525EN</t>
  </si>
  <si>
    <t>0684735835</t>
  </si>
  <si>
    <t>NL71INGB0006929392</t>
  </si>
  <si>
    <t>NL002513555B30</t>
  </si>
  <si>
    <t>amenov1978@gmail.com</t>
  </si>
  <si>
    <t>Menov</t>
  </si>
  <si>
    <t>Kolev Bouw</t>
  </si>
  <si>
    <t>Wolfhezestraat 61</t>
  </si>
  <si>
    <t>2573NT</t>
  </si>
  <si>
    <t>0687565116</t>
  </si>
  <si>
    <t>NL82INGB0008172928</t>
  </si>
  <si>
    <t>NL002500356B93</t>
  </si>
  <si>
    <t>kolevn662@gmail.com</t>
  </si>
  <si>
    <t>Kolev</t>
  </si>
  <si>
    <t>Kozirok</t>
  </si>
  <si>
    <t>Laakkade 231</t>
  </si>
  <si>
    <t>2521XN</t>
  </si>
  <si>
    <t>0686238500</t>
  </si>
  <si>
    <t>NL58INGB0007306471</t>
  </si>
  <si>
    <t>NL002490299B08</t>
  </si>
  <si>
    <t>ruskogeorgiev39@gmail.com</t>
  </si>
  <si>
    <t>Krabis Onderhoudsbedrijf</t>
  </si>
  <si>
    <t>Maagdepalmstraat 76</t>
  </si>
  <si>
    <t>2563TH</t>
  </si>
  <si>
    <t>0639325893</t>
  </si>
  <si>
    <t>NL94INGB0004655783</t>
  </si>
  <si>
    <t>NL002519870B37</t>
  </si>
  <si>
    <t>sabi.yrukov@abv.bg</t>
  </si>
  <si>
    <t>Kral 88 VOF</t>
  </si>
  <si>
    <t>B.B.</t>
  </si>
  <si>
    <t>Rabarberstraat 13</t>
  </si>
  <si>
    <t>2563RL</t>
  </si>
  <si>
    <t>0642530527</t>
  </si>
  <si>
    <t>NL15INGB0009356661</t>
  </si>
  <si>
    <t>NL862618289B01</t>
  </si>
  <si>
    <t>bahtiyarsali88@gmail.com</t>
  </si>
  <si>
    <t>Sali</t>
  </si>
  <si>
    <t>KRAS Onderhoud</t>
  </si>
  <si>
    <t>K.K.</t>
  </si>
  <si>
    <t>Dunantstraat 466</t>
  </si>
  <si>
    <t>2713XB</t>
  </si>
  <si>
    <t>0643259080</t>
  </si>
  <si>
    <t>NL31INGB0110457242</t>
  </si>
  <si>
    <t>NL005192890B21</t>
  </si>
  <si>
    <t>krasimirmutevski@gmail.com</t>
  </si>
  <si>
    <t>Mutevski</t>
  </si>
  <si>
    <t>Krasi Bouw</t>
  </si>
  <si>
    <t>K.S.</t>
  </si>
  <si>
    <t>Vier Heemskinderenstraat 95,</t>
  </si>
  <si>
    <t>2531CB</t>
  </si>
  <si>
    <t>0634070232</t>
  </si>
  <si>
    <t>NL33INGB0006967227</t>
  </si>
  <si>
    <t>NL003618865B75</t>
  </si>
  <si>
    <t>krasimirpetrov9090@gmail.com</t>
  </si>
  <si>
    <t>Petrov</t>
  </si>
  <si>
    <t>Krasi74 bouw</t>
  </si>
  <si>
    <t>Z.K.</t>
  </si>
  <si>
    <t>Berenrade 1 B</t>
  </si>
  <si>
    <t>2544 HV</t>
  </si>
  <si>
    <t>0685296779</t>
  </si>
  <si>
    <t>NL67INGB0675332796</t>
  </si>
  <si>
    <t>NL004092769B29</t>
  </si>
  <si>
    <t>zhanivanov99@gmail.com</t>
  </si>
  <si>
    <t>Krastev Onderhoudsbedrijf</t>
  </si>
  <si>
    <t>Mijnsherenlaan 146A</t>
  </si>
  <si>
    <t>3081CL</t>
  </si>
  <si>
    <t>0687056552</t>
  </si>
  <si>
    <t>NL29INGB0008651607</t>
  </si>
  <si>
    <t>NL003060232B68</t>
  </si>
  <si>
    <t>bbkrastev@abv.bg</t>
  </si>
  <si>
    <t>Krastev</t>
  </si>
  <si>
    <t>Kravchyk</t>
  </si>
  <si>
    <t>Emmastraat 2</t>
  </si>
  <si>
    <t>Naaldwijk</t>
  </si>
  <si>
    <t>2671ET</t>
  </si>
  <si>
    <t>0683131421</t>
  </si>
  <si>
    <t>NL33INGB0113640455</t>
  </si>
  <si>
    <t>NL005300422B02</t>
  </si>
  <si>
    <t>vovakrav67@gmail.com</t>
  </si>
  <si>
    <t>Kremaborko</t>
  </si>
  <si>
    <t>P.G.</t>
  </si>
  <si>
    <t>Oudemansstraat 179</t>
  </si>
  <si>
    <t>2522SH</t>
  </si>
  <si>
    <t>0687649327</t>
  </si>
  <si>
    <t>NL05INGB0101289367</t>
  </si>
  <si>
    <t>NL004699465B89</t>
  </si>
  <si>
    <t>pavlinzlatanov3@gmail.com</t>
  </si>
  <si>
    <t>Zlatanov</t>
  </si>
  <si>
    <t>Kriandr Services VOF</t>
  </si>
  <si>
    <t>NL866847947B01</t>
  </si>
  <si>
    <t>+31611583335</t>
  </si>
  <si>
    <t>NL85INGB0004259409</t>
  </si>
  <si>
    <t>kriandr88@gmail.com</t>
  </si>
  <si>
    <t>Krushkov98</t>
  </si>
  <si>
    <t>Van Zeggelenlaan 346</t>
  </si>
  <si>
    <t>2524BB</t>
  </si>
  <si>
    <t>0682795406</t>
  </si>
  <si>
    <t>NL005266012B68</t>
  </si>
  <si>
    <t>velizarkrushkov@gmail.com</t>
  </si>
  <si>
    <t>Krushkov</t>
  </si>
  <si>
    <t>KTM Bouw</t>
  </si>
  <si>
    <t>Houtrustweg 396</t>
  </si>
  <si>
    <t>2583EX</t>
  </si>
  <si>
    <t>0684389962</t>
  </si>
  <si>
    <t>NL17INGB0008977064</t>
  </si>
  <si>
    <t>NL002490129B83</t>
  </si>
  <si>
    <t>tkalyatyak@gmail.com</t>
  </si>
  <si>
    <t>Kalytiak</t>
  </si>
  <si>
    <t>Kumanov ZZP</t>
  </si>
  <si>
    <t>Vreeswijkstraat 441</t>
  </si>
  <si>
    <t>2546AM</t>
  </si>
  <si>
    <t>0685476167</t>
  </si>
  <si>
    <t>NL83INGB0007564817</t>
  </si>
  <si>
    <t>NL005048673B17</t>
  </si>
  <si>
    <t>anitosheva86@gmail.com</t>
  </si>
  <si>
    <t>Kumanov</t>
  </si>
  <si>
    <t>Kuzmanov Bouw</t>
  </si>
  <si>
    <t>K.B.</t>
  </si>
  <si>
    <t>NL316129604B01</t>
  </si>
  <si>
    <t>0616398813</t>
  </si>
  <si>
    <t>NL65INGB0114437122</t>
  </si>
  <si>
    <t>NL005256514B93</t>
  </si>
  <si>
    <t>kaloyan.borisov74@gmail.com</t>
  </si>
  <si>
    <t>Kuzmanov</t>
  </si>
  <si>
    <t>KVL Bouw B.V.</t>
  </si>
  <si>
    <t>M.V.</t>
  </si>
  <si>
    <t>Janssoniusstraat 11</t>
  </si>
  <si>
    <t>2523HA</t>
  </si>
  <si>
    <t>+31617168484</t>
  </si>
  <si>
    <t>NL868533543B01</t>
  </si>
  <si>
    <t>2kolia21101978@gmail.com</t>
  </si>
  <si>
    <t>Lanko</t>
  </si>
  <si>
    <t>Lavendel Schoonmaakbedrijf</t>
  </si>
  <si>
    <t>S.M.</t>
  </si>
  <si>
    <t>1735 HR</t>
  </si>
  <si>
    <t>0638926821</t>
  </si>
  <si>
    <t>NL10INGB0009573837</t>
  </si>
  <si>
    <t>NL003312995B45</t>
  </si>
  <si>
    <t>seydehyuseinova@yahoo.co.uk</t>
  </si>
  <si>
    <t>Hyuseinova</t>
  </si>
  <si>
    <t>LBSH Service</t>
  </si>
  <si>
    <t>L.B.</t>
  </si>
  <si>
    <t>+359878548781</t>
  </si>
  <si>
    <t>NL002484003B24</t>
  </si>
  <si>
    <t>kanji_1@abv.bg</t>
  </si>
  <si>
    <t>Shiboykov</t>
  </si>
  <si>
    <t>LHV Bouw</t>
  </si>
  <si>
    <t>L.H.</t>
  </si>
  <si>
    <t>Alpherwetering 20</t>
  </si>
  <si>
    <t>Waddinxveen</t>
  </si>
  <si>
    <t>2741 MN</t>
  </si>
  <si>
    <t>0643743812</t>
  </si>
  <si>
    <t>NL56INGB0007385562</t>
  </si>
  <si>
    <t>NL002489378B52</t>
  </si>
  <si>
    <t>lhv.bouw@gmail.com</t>
  </si>
  <si>
    <t>Varaykov</t>
  </si>
  <si>
    <t>Lin 82</t>
  </si>
  <si>
    <t>Janssoniusstraat 35-A</t>
  </si>
  <si>
    <t>2523 HA</t>
  </si>
  <si>
    <t>0687674384</t>
  </si>
  <si>
    <t>NL80INGB0007182109</t>
  </si>
  <si>
    <t>NL003727426B10</t>
  </si>
  <si>
    <t>veselin_kidikov79@abv.bg</t>
  </si>
  <si>
    <t>Kidikov</t>
  </si>
  <si>
    <t>LinVer Style (KOR per 01-04-2025)</t>
  </si>
  <si>
    <t>Hengelolaan 398</t>
  </si>
  <si>
    <t>2545JZ</t>
  </si>
  <si>
    <t>0648217247</t>
  </si>
  <si>
    <t>NL83INGB0108152847</t>
  </si>
  <si>
    <t>NL005153020B48</t>
  </si>
  <si>
    <t>v_raycheva@yahoo.com</t>
  </si>
  <si>
    <t>Raycheva</t>
  </si>
  <si>
    <t>LiShou</t>
  </si>
  <si>
    <t>Molenstraat 46</t>
  </si>
  <si>
    <t>Poortvliet</t>
  </si>
  <si>
    <t>4693BK</t>
  </si>
  <si>
    <t>0684164100</t>
  </si>
  <si>
    <t>NL93INGB0008296696</t>
  </si>
  <si>
    <t>NL002511872B45</t>
  </si>
  <si>
    <t>li_shau@abv.bg</t>
  </si>
  <si>
    <t>Sharankova</t>
  </si>
  <si>
    <t>Lobo MM Bouw</t>
  </si>
  <si>
    <t>L.Z.</t>
  </si>
  <si>
    <t>Goeverneurlaan 147</t>
  </si>
  <si>
    <t>2523BD</t>
  </si>
  <si>
    <t>0657676373</t>
  </si>
  <si>
    <t>NL79INGB0007852979</t>
  </si>
  <si>
    <t>NL003192698B04</t>
  </si>
  <si>
    <t>luben.dimitrov7@gmail.com</t>
  </si>
  <si>
    <t>Logistic Balkanika</t>
  </si>
  <si>
    <t>R.D.</t>
  </si>
  <si>
    <t>Maartensdijklaan 28</t>
  </si>
  <si>
    <t>2541XR</t>
  </si>
  <si>
    <t>0687765670</t>
  </si>
  <si>
    <t>NL24INGB0100776671</t>
  </si>
  <si>
    <t>NL004178187B89</t>
  </si>
  <si>
    <t>asenovrusi4@gmail.com</t>
  </si>
  <si>
    <t>Logtrans B.V. en MSI Transport B.V. Fiscale Eenheid BV</t>
  </si>
  <si>
    <t>M.I.</t>
  </si>
  <si>
    <t>Middenstede 3</t>
  </si>
  <si>
    <t>2543TD</t>
  </si>
  <si>
    <t>0655414343</t>
  </si>
  <si>
    <t>NL15INGB0006817395</t>
  </si>
  <si>
    <t>NL825609951B01</t>
  </si>
  <si>
    <t>logtransmsife@zzp-nl.nl</t>
  </si>
  <si>
    <t>Saliev</t>
  </si>
  <si>
    <t>Logtrans BV</t>
  </si>
  <si>
    <t>0628994466</t>
  </si>
  <si>
    <t>NL854986583B01</t>
  </si>
  <si>
    <t>info@logtransbv.nl</t>
  </si>
  <si>
    <t>Loonbedrijf Rumqna</t>
  </si>
  <si>
    <t>B.Y.</t>
  </si>
  <si>
    <t>Dautzenbergstraat 57</t>
  </si>
  <si>
    <t>2523KC</t>
  </si>
  <si>
    <t>0617650214</t>
  </si>
  <si>
    <t>NL87INGB0008516509</t>
  </si>
  <si>
    <t>NL003631429B04</t>
  </si>
  <si>
    <t>slavchevtihomir1@gmail.com</t>
  </si>
  <si>
    <t>Emilov</t>
  </si>
  <si>
    <t>Loonbedrijf Vasilka</t>
  </si>
  <si>
    <t>0682133481</t>
  </si>
  <si>
    <t>NL68INGB0006704794</t>
  </si>
  <si>
    <t>NL003684680B22</t>
  </si>
  <si>
    <t>emilovaana1@gmail.com</t>
  </si>
  <si>
    <t>Petrova</t>
  </si>
  <si>
    <t>LoonShop.nl</t>
  </si>
  <si>
    <t>NL39ABNA0829891021</t>
  </si>
  <si>
    <t>contact@loonshop.nl</t>
  </si>
  <si>
    <t>Lord66 Steigerbouw</t>
  </si>
  <si>
    <t>Y.D.</t>
  </si>
  <si>
    <t>0614475707</t>
  </si>
  <si>
    <t>NL78INGB0008745494</t>
  </si>
  <si>
    <t>NL002473433B94</t>
  </si>
  <si>
    <t>vvodosvet83@abv.bg</t>
  </si>
  <si>
    <t>Lubo-M</t>
  </si>
  <si>
    <t>De Genestetlaan 68</t>
  </si>
  <si>
    <t>2522LP</t>
  </si>
  <si>
    <t>0687257411</t>
  </si>
  <si>
    <t>NL96INGB0006817586</t>
  </si>
  <si>
    <t>NL002464347B97</t>
  </si>
  <si>
    <t>lubo73@hotmail.com</t>
  </si>
  <si>
    <t>Lupi Service Vania VOF</t>
  </si>
  <si>
    <t>L.R.</t>
  </si>
  <si>
    <t>Aernout Drostkade 6</t>
  </si>
  <si>
    <t>2802TN</t>
  </si>
  <si>
    <t>0630757572</t>
  </si>
  <si>
    <t>NL49INGB0105467626</t>
  </si>
  <si>
    <t>NL866465340B01</t>
  </si>
  <si>
    <t>lupimontage@gmail.com</t>
  </si>
  <si>
    <t>Yankov</t>
  </si>
  <si>
    <t>Lyatif Handelsonderneming</t>
  </si>
  <si>
    <t>R.L.</t>
  </si>
  <si>
    <t>Soesdijksekade 727</t>
  </si>
  <si>
    <t>2574BM</t>
  </si>
  <si>
    <t>0642088177</t>
  </si>
  <si>
    <t>NL83INGB0005015560</t>
  </si>
  <si>
    <t>NL002458247B95</t>
  </si>
  <si>
    <t>rafi_1974@hotmail.com</t>
  </si>
  <si>
    <t>Myuslyum</t>
  </si>
  <si>
    <t>M. Baran Klussenbedrijf</t>
  </si>
  <si>
    <t>M.</t>
  </si>
  <si>
    <t>Lodewijk van Deysselhof 49</t>
  </si>
  <si>
    <t>2624WG</t>
  </si>
  <si>
    <t>0624829706</t>
  </si>
  <si>
    <t>NL70INGB0008963791</t>
  </si>
  <si>
    <t>NL003173368B53</t>
  </si>
  <si>
    <t>n.esikli@hotmail.com</t>
  </si>
  <si>
    <t>Baran</t>
  </si>
  <si>
    <t>M. Lanko Bouw</t>
  </si>
  <si>
    <t>0617168484</t>
  </si>
  <si>
    <t>NL52ABNA0860353346</t>
  </si>
  <si>
    <t>NL002478655B44</t>
  </si>
  <si>
    <t>kolia21101978@gmail.com</t>
  </si>
  <si>
    <t>M.D.A. B.V. (Estino)</t>
  </si>
  <si>
    <t>O.L.</t>
  </si>
  <si>
    <t>0613077634</t>
  </si>
  <si>
    <t>NL868038295B01</t>
  </si>
  <si>
    <t>o.tyagniy@home.nl</t>
  </si>
  <si>
    <t>Tyagniy</t>
  </si>
  <si>
    <t>M.J.N.G Construction</t>
  </si>
  <si>
    <t>Volendamlaan 108</t>
  </si>
  <si>
    <t>2547CJ</t>
  </si>
  <si>
    <t>0614455802</t>
  </si>
  <si>
    <t>NL54INGB0105755141</t>
  </si>
  <si>
    <t>NL004980983B67</t>
  </si>
  <si>
    <t>zivodarhristov@gmail.com</t>
  </si>
  <si>
    <t>M.L.77</t>
  </si>
  <si>
    <t>Hattemlaan 72</t>
  </si>
  <si>
    <t>2573WN</t>
  </si>
  <si>
    <t>0617588535</t>
  </si>
  <si>
    <t>NL78INGB0007143539</t>
  </si>
  <si>
    <t>NL003231221B72</t>
  </si>
  <si>
    <t>chavdarov77@gmail.com</t>
  </si>
  <si>
    <t>Chavdarov</t>
  </si>
  <si>
    <t>M.Lanko B.V.</t>
  </si>
  <si>
    <t>+310617168484</t>
  </si>
  <si>
    <t>NL868531455B01</t>
  </si>
  <si>
    <t>1kolia21101978@gmail.com</t>
  </si>
  <si>
    <t>Mab 91</t>
  </si>
  <si>
    <t>Brinckerinckstraat 66A</t>
  </si>
  <si>
    <t>2531 VE</t>
  </si>
  <si>
    <t>0684520909</t>
  </si>
  <si>
    <t>NL94INGB0007011816</t>
  </si>
  <si>
    <t>NL002491747B71</t>
  </si>
  <si>
    <t>byulyukbashev@gmail.com</t>
  </si>
  <si>
    <t>Byulyukbashev</t>
  </si>
  <si>
    <t>MAK Flex VOF</t>
  </si>
  <si>
    <t>Herenstraat 4A</t>
  </si>
  <si>
    <t>2282BT</t>
  </si>
  <si>
    <t>0616661190</t>
  </si>
  <si>
    <t>NL23INGB0007569971</t>
  </si>
  <si>
    <t>NL863735861B01</t>
  </si>
  <si>
    <t>bamchevkrum@gmail.com</t>
  </si>
  <si>
    <t>Bamchev</t>
  </si>
  <si>
    <t>Malide</t>
  </si>
  <si>
    <t>Atlantastraat 11</t>
  </si>
  <si>
    <t>2548JL</t>
  </si>
  <si>
    <t>0648198848</t>
  </si>
  <si>
    <t>NL74INGB0675141192</t>
  </si>
  <si>
    <t>NL004054669B34</t>
  </si>
  <si>
    <t>deemster12@gmail.com</t>
  </si>
  <si>
    <t>Losekoot</t>
  </si>
  <si>
    <t>Malyov</t>
  </si>
  <si>
    <t>N.B.</t>
  </si>
  <si>
    <t>Hendrick Croesinckstraat 2</t>
  </si>
  <si>
    <t>3074PE</t>
  </si>
  <si>
    <t>0644141509</t>
  </si>
  <si>
    <t>NL90INGB0709534000</t>
  </si>
  <si>
    <t>NL004428541B19</t>
  </si>
  <si>
    <t>nevenmalyov@gmail.com</t>
  </si>
  <si>
    <t>Manuela Care</t>
  </si>
  <si>
    <t>Hengelolaan 201 A</t>
  </si>
  <si>
    <t>2545JH</t>
  </si>
  <si>
    <t>0624106844</t>
  </si>
  <si>
    <t>NL90INGB0009146276</t>
  </si>
  <si>
    <t>NL002474933B77</t>
  </si>
  <si>
    <t>mtrenkova@yahoo.com</t>
  </si>
  <si>
    <t>Trenkova</t>
  </si>
  <si>
    <t>Mapio Bouw</t>
  </si>
  <si>
    <t>Zandvoortselaan 148</t>
  </si>
  <si>
    <t>2554EM</t>
  </si>
  <si>
    <t>0626430869</t>
  </si>
  <si>
    <t>NL44INGB0109017528</t>
  </si>
  <si>
    <t>NL005048687B85</t>
  </si>
  <si>
    <t>maryanzilinkevich70@gmail.com</t>
  </si>
  <si>
    <t>Zilinkevych</t>
  </si>
  <si>
    <t>Mari 90</t>
  </si>
  <si>
    <t>0648011704</t>
  </si>
  <si>
    <t>NL59INGB0008843030</t>
  </si>
  <si>
    <t>NL002510163B03</t>
  </si>
  <si>
    <t>diko_lalka@hotmail.com</t>
  </si>
  <si>
    <t>Dikov</t>
  </si>
  <si>
    <t>Marit Onderhoudsbedrijf</t>
  </si>
  <si>
    <t>M.E.</t>
  </si>
  <si>
    <t>Cornelis Musiusstraat 6</t>
  </si>
  <si>
    <t>2612PH</t>
  </si>
  <si>
    <t>0654277611</t>
  </si>
  <si>
    <t>NL23INGB0005851422</t>
  </si>
  <si>
    <t>NL856468952B01</t>
  </si>
  <si>
    <t>maritonderhouds@hotmail.com</t>
  </si>
  <si>
    <t>Martin Kulev 94 VOF</t>
  </si>
  <si>
    <t>M.S.</t>
  </si>
  <si>
    <t>Houtstraat 5</t>
  </si>
  <si>
    <t>3114NG</t>
  </si>
  <si>
    <t>0647271020</t>
  </si>
  <si>
    <t>NL06INGB0008695283</t>
  </si>
  <si>
    <t>NL864466341B01</t>
  </si>
  <si>
    <t>martinkulev386@gmail.com</t>
  </si>
  <si>
    <t>Martoni80 VOF</t>
  </si>
  <si>
    <t>Hattemlaan 5</t>
  </si>
  <si>
    <t>2573WG</t>
  </si>
  <si>
    <t>0618119527</t>
  </si>
  <si>
    <t>NL60INGB0009405127</t>
  </si>
  <si>
    <t>NL863583593B01</t>
  </si>
  <si>
    <t>sashofilipov706@gmail.com</t>
  </si>
  <si>
    <t>Mart-Transport</t>
  </si>
  <si>
    <t>Paulus Potterstraat 58</t>
  </si>
  <si>
    <t>3117XG</t>
  </si>
  <si>
    <t>0687834257</t>
  </si>
  <si>
    <t>NL31INGB0009385764</t>
  </si>
  <si>
    <t>NL003845225B29</t>
  </si>
  <si>
    <t>kpetrov751@gmail.com</t>
  </si>
  <si>
    <t>Mavre Bouw</t>
  </si>
  <si>
    <t>Van den Berghstraat 34</t>
  </si>
  <si>
    <t>2522ZR</t>
  </si>
  <si>
    <t>0687198811</t>
  </si>
  <si>
    <t>NL40INGB0007576164</t>
  </si>
  <si>
    <t>NL005290548B16</t>
  </si>
  <si>
    <t>mitev8448@gmail.com</t>
  </si>
  <si>
    <t>MayWear</t>
  </si>
  <si>
    <t>0634094530</t>
  </si>
  <si>
    <t>NL47INGB0114557144</t>
  </si>
  <si>
    <t>NL005282497B16</t>
  </si>
  <si>
    <t>mywearinfo@gmail.com</t>
  </si>
  <si>
    <t>Hadzhiyska</t>
  </si>
  <si>
    <t>MB Nails</t>
  </si>
  <si>
    <t>Nijkerklaan 58</t>
  </si>
  <si>
    <t>2573BC</t>
  </si>
  <si>
    <t>0686007736</t>
  </si>
  <si>
    <t>NL82INGB0111722853</t>
  </si>
  <si>
    <t>NL005250799B21</t>
  </si>
  <si>
    <t>miglenaandonova97@gmail.com</t>
  </si>
  <si>
    <t>Boneva</t>
  </si>
  <si>
    <t>MDBouwbedrijf</t>
  </si>
  <si>
    <t>Andromedastraat 10</t>
  </si>
  <si>
    <t>Alphen aan den Rijn</t>
  </si>
  <si>
    <t>2401HB</t>
  </si>
  <si>
    <t>0638442010</t>
  </si>
  <si>
    <t>NL51INGB0007286809</t>
  </si>
  <si>
    <t>NL002516886B24</t>
  </si>
  <si>
    <t>MKD.bouw@hotmail.com</t>
  </si>
  <si>
    <t>Dzhongov</t>
  </si>
  <si>
    <t>Megi88</t>
  </si>
  <si>
    <t>M.R.</t>
  </si>
  <si>
    <t>Herenstraat 7</t>
  </si>
  <si>
    <t>2802KH</t>
  </si>
  <si>
    <t>0619278728</t>
  </si>
  <si>
    <t>NL57INGB0675537258</t>
  </si>
  <si>
    <t>NL004142705B06</t>
  </si>
  <si>
    <t>mariankirilov0@gmail.com</t>
  </si>
  <si>
    <t>MegiAsen</t>
  </si>
  <si>
    <t>PY</t>
  </si>
  <si>
    <t>Schalk Burgerstraat 322</t>
  </si>
  <si>
    <t>2572TH</t>
  </si>
  <si>
    <t>0684634191</t>
  </si>
  <si>
    <t>NL18INGB0006597151</t>
  </si>
  <si>
    <t>NL003684557B62</t>
  </si>
  <si>
    <t>petyastaykova1986@gmail.com</t>
  </si>
  <si>
    <t>Staykova</t>
  </si>
  <si>
    <t>MF Transport</t>
  </si>
  <si>
    <t>Kervelhof 12</t>
  </si>
  <si>
    <t>0611516781</t>
  </si>
  <si>
    <t>NL68ABNA0426771206</t>
  </si>
  <si>
    <t>NL002468759B62</t>
  </si>
  <si>
    <t>info@mftransport.nl</t>
  </si>
  <si>
    <t>Feim</t>
  </si>
  <si>
    <t>MG Petkov Holding B.V.</t>
  </si>
  <si>
    <t>Van Zeggelenlaan 208</t>
  </si>
  <si>
    <t>2524AX</t>
  </si>
  <si>
    <t>0658740663</t>
  </si>
  <si>
    <t>NL04INGB0008113513</t>
  </si>
  <si>
    <t>NL857519384B01</t>
  </si>
  <si>
    <t>mgpetkovholding@zzp-nl.nl</t>
  </si>
  <si>
    <t>MHM 98</t>
  </si>
  <si>
    <t>Berensteinlaan 511</t>
  </si>
  <si>
    <t>2542JN</t>
  </si>
  <si>
    <t>0687829132</t>
  </si>
  <si>
    <t>NL06INGB0007571247</t>
  </si>
  <si>
    <t>NL003625852B48</t>
  </si>
  <si>
    <t>rahmanmahmud548@gmail.com</t>
  </si>
  <si>
    <t>Mahmud</t>
  </si>
  <si>
    <t>Mia Kosova B.V.</t>
  </si>
  <si>
    <t>Loevesteinlaan 490</t>
  </si>
  <si>
    <t>2533CG</t>
  </si>
  <si>
    <t>0629391117</t>
  </si>
  <si>
    <t>NL63INGB0006781708</t>
  </si>
  <si>
    <t>NL862476252B01</t>
  </si>
  <si>
    <t>miakosova@zzp-nl.nl</t>
  </si>
  <si>
    <t>Michelin Bouw</t>
  </si>
  <si>
    <t>Jansoniusstraat 103a</t>
  </si>
  <si>
    <t>2523HC</t>
  </si>
  <si>
    <t>0645522212</t>
  </si>
  <si>
    <t>NL27INGB0008988524</t>
  </si>
  <si>
    <t>NL005202901B35</t>
  </si>
  <si>
    <t>mishel8602@gmail.com</t>
  </si>
  <si>
    <t>Miglen Bouw - Exit - gemaild -Achterstand BORA</t>
  </si>
  <si>
    <t>De Constant Rebecquestraat 44</t>
  </si>
  <si>
    <t>2518RE</t>
  </si>
  <si>
    <t>0616707123</t>
  </si>
  <si>
    <t>NL89INGB0007750852</t>
  </si>
  <si>
    <t>NL005190835B86</t>
  </si>
  <si>
    <t>miglenc@yahoo.com</t>
  </si>
  <si>
    <t>Chaushev</t>
  </si>
  <si>
    <t>Mihail Onderhoud</t>
  </si>
  <si>
    <t>M.L.</t>
  </si>
  <si>
    <t>Heer Daniëlstraat 112</t>
  </si>
  <si>
    <t>3073DG</t>
  </si>
  <si>
    <t>0628388535</t>
  </si>
  <si>
    <t>NL77INGB0008098425</t>
  </si>
  <si>
    <t>NL002473214B28</t>
  </si>
  <si>
    <t>dankov_79@abv.bg</t>
  </si>
  <si>
    <t>Dankov</t>
  </si>
  <si>
    <t>Miha-Stroy B.V.</t>
  </si>
  <si>
    <t>Lindenlaan 5</t>
  </si>
  <si>
    <t>Vlodrop</t>
  </si>
  <si>
    <t>6063 BK</t>
  </si>
  <si>
    <t>0615083592</t>
  </si>
  <si>
    <t>NL93INGB0103242139</t>
  </si>
  <si>
    <t>NL865466683B01</t>
  </si>
  <si>
    <t>ostas1985@mail.ru</t>
  </si>
  <si>
    <t>Ostas</t>
  </si>
  <si>
    <t>MIK Bouw VOF</t>
  </si>
  <si>
    <t>Gravendreef 65</t>
  </si>
  <si>
    <t>2542 NN</t>
  </si>
  <si>
    <t>0684171919</t>
  </si>
  <si>
    <t>NL13INGB0007923813</t>
  </si>
  <si>
    <t>NL858386872B01</t>
  </si>
  <si>
    <t>milen.kaitsanov@gmail.com</t>
  </si>
  <si>
    <t>Kaytsanov</t>
  </si>
  <si>
    <t>Mike Install</t>
  </si>
  <si>
    <t>Boschring 28</t>
  </si>
  <si>
    <t>Goirle</t>
  </si>
  <si>
    <t>5052HG</t>
  </si>
  <si>
    <t>0687563821</t>
  </si>
  <si>
    <t>NL16RABO0339277637</t>
  </si>
  <si>
    <t>NL004257717B82</t>
  </si>
  <si>
    <t>mikeinstallnl@gmail.com</t>
  </si>
  <si>
    <t>Milenium Bouw</t>
  </si>
  <si>
    <t>Van Koetsveldstraat 64</t>
  </si>
  <si>
    <t>2523 EE</t>
  </si>
  <si>
    <t>0645808341</t>
  </si>
  <si>
    <t>NL02INGB0008459742</t>
  </si>
  <si>
    <t>NL002495482B18</t>
  </si>
  <si>
    <t>milenium1114@abv.bg</t>
  </si>
  <si>
    <t>Smilyanov</t>
  </si>
  <si>
    <t>Milko 82</t>
  </si>
  <si>
    <t>Schaarsbergenstraat 107</t>
  </si>
  <si>
    <t>2573 BR</t>
  </si>
  <si>
    <t>0639857303</t>
  </si>
  <si>
    <t>NL23INGB0008290293</t>
  </si>
  <si>
    <t>NL003196516B77</t>
  </si>
  <si>
    <t>milkomtech1999@gmail.com</t>
  </si>
  <si>
    <t>Mitev Hoofd BV</t>
  </si>
  <si>
    <t>NL79INGB0008275996</t>
  </si>
  <si>
    <t>NL858166495B01</t>
  </si>
  <si>
    <t>kdmitevbouw@axentis.nl</t>
  </si>
  <si>
    <t>Mitko GSM</t>
  </si>
  <si>
    <t>Ruysdaelplein 42</t>
  </si>
  <si>
    <t>2282BJ</t>
  </si>
  <si>
    <t>0639030330</t>
  </si>
  <si>
    <t>NL04INGB0008908040</t>
  </si>
  <si>
    <t>NL002517994B43</t>
  </si>
  <si>
    <t>mitkogsm71@gmail.com</t>
  </si>
  <si>
    <t>Nenkov</t>
  </si>
  <si>
    <t>Mittech</t>
  </si>
  <si>
    <t>D.H.</t>
  </si>
  <si>
    <t>Hoenderloostraat 95</t>
  </si>
  <si>
    <t>2573RL</t>
  </si>
  <si>
    <t>+359877784565</t>
  </si>
  <si>
    <t>NL15BUNQ2093360578</t>
  </si>
  <si>
    <t>NL004829835B71</t>
  </si>
  <si>
    <t>dimitarpevetsov04@outlook.com</t>
  </si>
  <si>
    <t>Pevetsov</t>
  </si>
  <si>
    <t>MN IT Holding B.V. - geen BTWnr</t>
  </si>
  <si>
    <t>A.P.</t>
  </si>
  <si>
    <t>Loenensestraat 187</t>
  </si>
  <si>
    <t>2574RL</t>
  </si>
  <si>
    <t>0624174669</t>
  </si>
  <si>
    <t>NL866691716B01</t>
  </si>
  <si>
    <t>aleks_kehayov@hotmail.com</t>
  </si>
  <si>
    <t>MNP Safety</t>
  </si>
  <si>
    <t>M.N.</t>
  </si>
  <si>
    <t>Zwedenburg 384</t>
  </si>
  <si>
    <t>2591BP</t>
  </si>
  <si>
    <t>0625420158</t>
  </si>
  <si>
    <t>NL76INGB0009696615</t>
  </si>
  <si>
    <t>NL003539964B47</t>
  </si>
  <si>
    <t>marinnikpet@gmail.com</t>
  </si>
  <si>
    <t>Moni 93</t>
  </si>
  <si>
    <t>Boerenstraat 93</t>
  </si>
  <si>
    <t>2572HV</t>
  </si>
  <si>
    <t>0684069131</t>
  </si>
  <si>
    <t>NL03INGB0007044979</t>
  </si>
  <si>
    <t>NL691511950B01</t>
  </si>
  <si>
    <t>cifkata333@abv.bg</t>
  </si>
  <si>
    <t>Mr. Velkoski VOF</t>
  </si>
  <si>
    <t>Stadhoudersweg 151 B</t>
  </si>
  <si>
    <t>3039EJ</t>
  </si>
  <si>
    <t>0686259852</t>
  </si>
  <si>
    <t>NL28INGB0675342325</t>
  </si>
  <si>
    <t>NL866410326B01</t>
  </si>
  <si>
    <t>martin_rampo03@hotmail.com</t>
  </si>
  <si>
    <t>Velkoski</t>
  </si>
  <si>
    <t>MSI Transport BV</t>
  </si>
  <si>
    <t>Zuideinde 2</t>
  </si>
  <si>
    <t>2991LK</t>
  </si>
  <si>
    <t>NL91INGB0007672731</t>
  </si>
  <si>
    <t>NL857335893B01</t>
  </si>
  <si>
    <t>info@msitransport.nl</t>
  </si>
  <si>
    <t>MSK Bouw</t>
  </si>
  <si>
    <t>M S</t>
  </si>
  <si>
    <t>Vrederustlaan 140</t>
  </si>
  <si>
    <t>2543SV</t>
  </si>
  <si>
    <t>0630066510</t>
  </si>
  <si>
    <t>NL11INGB0006320633</t>
  </si>
  <si>
    <t>NL002500023B83</t>
  </si>
  <si>
    <t>0mumunbouw@gmail.com</t>
  </si>
  <si>
    <t>MSK Hoofd B.V.</t>
  </si>
  <si>
    <t>+310630066510</t>
  </si>
  <si>
    <t>NL868519510B01</t>
  </si>
  <si>
    <t>1mumunbouw@gmail.com</t>
  </si>
  <si>
    <t>MSK Staal B.V.</t>
  </si>
  <si>
    <t>+31630066510</t>
  </si>
  <si>
    <t>NL868521255B01</t>
  </si>
  <si>
    <t>mumunbouw@gmail.com</t>
  </si>
  <si>
    <t>MSM Mehmedov</t>
  </si>
  <si>
    <t>Ruysdaelplein 41</t>
  </si>
  <si>
    <t>0634182890</t>
  </si>
  <si>
    <t>NL72INGB0009491823</t>
  </si>
  <si>
    <t>NL003311213B78</t>
  </si>
  <si>
    <t>m.mehmedov757@gmail.com</t>
  </si>
  <si>
    <t>Mehmedov</t>
  </si>
  <si>
    <t>MTT Bouw</t>
  </si>
  <si>
    <t>Meppelweg 968</t>
  </si>
  <si>
    <t>2544CE</t>
  </si>
  <si>
    <t>0630256359</t>
  </si>
  <si>
    <t>NL34INGB0101426003</t>
  </si>
  <si>
    <t>NL004704416B53</t>
  </si>
  <si>
    <t>mohammedtt@outlook.com</t>
  </si>
  <si>
    <t>Tajjiou</t>
  </si>
  <si>
    <t>Mus Best</t>
  </si>
  <si>
    <t>K.A.</t>
  </si>
  <si>
    <t>Groenesteinstraat 12</t>
  </si>
  <si>
    <t>2512SK</t>
  </si>
  <si>
    <t>0634193514</t>
  </si>
  <si>
    <t>NL09INGB0003391172</t>
  </si>
  <si>
    <t>NL002455780B85</t>
  </si>
  <si>
    <t>krasimirdzhivgov1971@gmail.com</t>
  </si>
  <si>
    <t>Dzhivgov</t>
  </si>
  <si>
    <t>Musa Dienstverlening</t>
  </si>
  <si>
    <t>Vollevensstraat 26</t>
  </si>
  <si>
    <t>2525VS</t>
  </si>
  <si>
    <t>0657500786</t>
  </si>
  <si>
    <t>NL04INGB0009449106</t>
  </si>
  <si>
    <t>NL002470571B50</t>
  </si>
  <si>
    <t>musa.mehmed1990@gmail.com</t>
  </si>
  <si>
    <t>Muzyka Klusbedrijf</t>
  </si>
  <si>
    <t>Elspeetstraat 17</t>
  </si>
  <si>
    <t>2573HM</t>
  </si>
  <si>
    <t>0617721731</t>
  </si>
  <si>
    <t>NL21INGB0100396291</t>
  </si>
  <si>
    <t>NL004799200B15</t>
  </si>
  <si>
    <t>vasylmuzyka2@gmail.com</t>
  </si>
  <si>
    <t>Muzyka</t>
  </si>
  <si>
    <t>Mye Bouw</t>
  </si>
  <si>
    <t>0618678089</t>
  </si>
  <si>
    <t>NL96INGB0008235629</t>
  </si>
  <si>
    <t>NL002499594B64</t>
  </si>
  <si>
    <t>mumun.emin@mail.bg</t>
  </si>
  <si>
    <t>Emin</t>
  </si>
  <si>
    <t>MYG Transport</t>
  </si>
  <si>
    <t>Madroelstraat 75</t>
  </si>
  <si>
    <t>Pernis Rotterdam</t>
  </si>
  <si>
    <t>3195AL</t>
  </si>
  <si>
    <t>0687218975</t>
  </si>
  <si>
    <t>NL48INGB0007017300</t>
  </si>
  <si>
    <t>NL003201445B45</t>
  </si>
  <si>
    <t>mygtransport2020@gmail.com</t>
  </si>
  <si>
    <t>Gromov</t>
  </si>
  <si>
    <t>Myros</t>
  </si>
  <si>
    <t>Van Swietenstraat 120 B</t>
  </si>
  <si>
    <t>2518 SM</t>
  </si>
  <si>
    <t>0628274412</t>
  </si>
  <si>
    <t>NL97INGB0007160172</t>
  </si>
  <si>
    <t>NL002510750B55</t>
  </si>
  <si>
    <t>myros.bg@yahoo.com</t>
  </si>
  <si>
    <t>Yavorov</t>
  </si>
  <si>
    <t>N. Golemanov</t>
  </si>
  <si>
    <t>Zaanstraat 6</t>
  </si>
  <si>
    <t>2515TN</t>
  </si>
  <si>
    <t>0648441392</t>
  </si>
  <si>
    <t>NL58INGB0106043838</t>
  </si>
  <si>
    <t>NL003196429B84</t>
  </si>
  <si>
    <t>nedkogolemanov@gmail.com</t>
  </si>
  <si>
    <t>Natali MAK VOF</t>
  </si>
  <si>
    <t>David Blesstraat 96</t>
  </si>
  <si>
    <t>2526BL</t>
  </si>
  <si>
    <t>0639181212</t>
  </si>
  <si>
    <t>NL86INGB0008401582</t>
  </si>
  <si>
    <t>NL861086855B01</t>
  </si>
  <si>
    <t>mitkovvalentin98@gmail.com</t>
  </si>
  <si>
    <t>Mitkov</t>
  </si>
  <si>
    <t>Naydenov EMI</t>
  </si>
  <si>
    <t>0623141711</t>
  </si>
  <si>
    <t>NL41SNSB0339661119</t>
  </si>
  <si>
    <t>NL003423434B53</t>
  </si>
  <si>
    <t>crystalreed11@abv.bg</t>
  </si>
  <si>
    <t>Naydenov</t>
  </si>
  <si>
    <t>NG-Dimitrov 2022</t>
  </si>
  <si>
    <t>Van Oestendestraat 37 D</t>
  </si>
  <si>
    <t>3083MD</t>
  </si>
  <si>
    <t>00359898781355</t>
  </si>
  <si>
    <t>NL91INGB0675457106</t>
  </si>
  <si>
    <t>NL004116919B56</t>
  </si>
  <si>
    <t>goshkomalkia6@gmail.com</t>
  </si>
  <si>
    <t>NIEN MAK</t>
  </si>
  <si>
    <t>Veerplein 9</t>
  </si>
  <si>
    <t>3131CX</t>
  </si>
  <si>
    <t>0620664764</t>
  </si>
  <si>
    <t>NL52INGB0009007086</t>
  </si>
  <si>
    <t>NL003708670B34</t>
  </si>
  <si>
    <t>misepetrevski@gmail.com</t>
  </si>
  <si>
    <t>Petrevski</t>
  </si>
  <si>
    <t>Nikanor Logistic</t>
  </si>
  <si>
    <t>Dirk Hoogenraadstraat 58</t>
  </si>
  <si>
    <t>2586TK</t>
  </si>
  <si>
    <t>0618887976</t>
  </si>
  <si>
    <t>NL71 RABO 0349 9862 23</t>
  </si>
  <si>
    <t>NL003107675B75</t>
  </si>
  <si>
    <t>nikanorlog@gmail.com</t>
  </si>
  <si>
    <t>Niko 81</t>
  </si>
  <si>
    <t>N.H.</t>
  </si>
  <si>
    <t>Haverschmidststraat 57</t>
  </si>
  <si>
    <t>2522VL</t>
  </si>
  <si>
    <t>0684747099</t>
  </si>
  <si>
    <t>NL94INGB0008892258</t>
  </si>
  <si>
    <t>NL002480205B62</t>
  </si>
  <si>
    <t>nikolay.enkov@yahoo.com</t>
  </si>
  <si>
    <t>Enkov</t>
  </si>
  <si>
    <t>NILKEMON VOF</t>
  </si>
  <si>
    <t>Cor Witschgestraat 14</t>
  </si>
  <si>
    <t>Haarlem</t>
  </si>
  <si>
    <t>2033ZW</t>
  </si>
  <si>
    <t>0642208044</t>
  </si>
  <si>
    <t>NL69INGB0008306052</t>
  </si>
  <si>
    <t>NL861047825B01</t>
  </si>
  <si>
    <t>nilkemon@gmail.com</t>
  </si>
  <si>
    <t>Hyuseinov</t>
  </si>
  <si>
    <t>Nova 13 - TE VEEL OPEN BORATECH</t>
  </si>
  <si>
    <t>0647642447</t>
  </si>
  <si>
    <t>NL57INGB0008805430</t>
  </si>
  <si>
    <t>NL002473275B61</t>
  </si>
  <si>
    <t>nova13.bouwbedrijf@gmail.com</t>
  </si>
  <si>
    <t>Varaykova</t>
  </si>
  <si>
    <t>Nuri Bouw</t>
  </si>
  <si>
    <t>2546 AR</t>
  </si>
  <si>
    <t>0613897215</t>
  </si>
  <si>
    <t>NL52INGB0007846093</t>
  </si>
  <si>
    <t>NL003216281B90</t>
  </si>
  <si>
    <t>zelenkov2020nuri@gmail.com</t>
  </si>
  <si>
    <t>Nuriddin Bouw</t>
  </si>
  <si>
    <t>Newtonstraat 296 A</t>
  </si>
  <si>
    <t>2562KZ</t>
  </si>
  <si>
    <t>0616799600</t>
  </si>
  <si>
    <t>NL43INGB0008278002</t>
  </si>
  <si>
    <t>NL002491769B67</t>
  </si>
  <si>
    <t>salihnuriddin@gmail.com</t>
  </si>
  <si>
    <t>Nuriddin</t>
  </si>
  <si>
    <t>Nyshta Bouw</t>
  </si>
  <si>
    <t>Dr. H. Colijnlaan 316</t>
  </si>
  <si>
    <t>2283ZA</t>
  </si>
  <si>
    <t>0685498224</t>
  </si>
  <si>
    <t>NL97INGB0110681967</t>
  </si>
  <si>
    <t>NL005200882B67</t>
  </si>
  <si>
    <t>ivannista692@gmail.com</t>
  </si>
  <si>
    <t>Nyshta</t>
  </si>
  <si>
    <t>Nyshta Stukadoor</t>
  </si>
  <si>
    <t>Dierenselaan 110</t>
  </si>
  <si>
    <t>2573KK</t>
  </si>
  <si>
    <t>0687140854</t>
  </si>
  <si>
    <t>NL56INGB0109595432</t>
  </si>
  <si>
    <t>NL005154538B63</t>
  </si>
  <si>
    <t>misha.nyshta@gmail.com</t>
  </si>
  <si>
    <t>NZB Bouw</t>
  </si>
  <si>
    <t>N.Z.</t>
  </si>
  <si>
    <t>Van Merlenstraat 56 A</t>
  </si>
  <si>
    <t>0643435262</t>
  </si>
  <si>
    <t>NL87INGB0007377438</t>
  </si>
  <si>
    <t>NL002458210B40</t>
  </si>
  <si>
    <t>nedqlkoboragjiev@gmail.com</t>
  </si>
  <si>
    <t>Boradzhiev</t>
  </si>
  <si>
    <t>Ognev</t>
  </si>
  <si>
    <t>Oostzeestraat 206</t>
  </si>
  <si>
    <t>8226 BJ</t>
  </si>
  <si>
    <t>0616011705</t>
  </si>
  <si>
    <t>NL12INGB0105918954</t>
  </si>
  <si>
    <t>NL005005365B43</t>
  </si>
  <si>
    <t>ivanognev48@gmail.com</t>
  </si>
  <si>
    <t>Okic Transport</t>
  </si>
  <si>
    <t>O.I.</t>
  </si>
  <si>
    <t>Waldorpstraat 568-D</t>
  </si>
  <si>
    <t>2521CK</t>
  </si>
  <si>
    <t>0687243452</t>
  </si>
  <si>
    <t>NL36INGB0103536493</t>
  </si>
  <si>
    <t>NL004887647B71</t>
  </si>
  <si>
    <t>oktayfit.abv.bg@icloud.com</t>
  </si>
  <si>
    <t>Okta 89</t>
  </si>
  <si>
    <t>O.A.</t>
  </si>
  <si>
    <t>Polsbroekstraat 46</t>
  </si>
  <si>
    <t>2546 RM</t>
  </si>
  <si>
    <t>0618079784</t>
  </si>
  <si>
    <t>NL41INGB0008599011</t>
  </si>
  <si>
    <t>NL002470624B58</t>
  </si>
  <si>
    <t>oktay.yunuzov@gmail.com</t>
  </si>
  <si>
    <t>Yuzunov</t>
  </si>
  <si>
    <t>ok-tiM Transport Services VOF</t>
  </si>
  <si>
    <t>0687373088</t>
  </si>
  <si>
    <t>NL70INGB0110565665</t>
  </si>
  <si>
    <t>NL867549129B01</t>
  </si>
  <si>
    <t>oktimservices@gmail.com</t>
  </si>
  <si>
    <t>Oleksa Bouw</t>
  </si>
  <si>
    <t>O.D.</t>
  </si>
  <si>
    <t>Hervensebaan 1</t>
  </si>
  <si>
    <t>s-Hertogenbosch</t>
  </si>
  <si>
    <t>5232JL</t>
  </si>
  <si>
    <t>0685216886</t>
  </si>
  <si>
    <t>NL42INGB0103324925</t>
  </si>
  <si>
    <t>NL004721693B51</t>
  </si>
  <si>
    <t>oleksabouw@gmail.com</t>
  </si>
  <si>
    <t>Dovhaliuk</t>
  </si>
  <si>
    <t>Ombre 73</t>
  </si>
  <si>
    <t>Haverschmidtstraat 55</t>
  </si>
  <si>
    <t>0685029497</t>
  </si>
  <si>
    <t>NL28INGB0008277496</t>
  </si>
  <si>
    <t>NL002468233B43</t>
  </si>
  <si>
    <t>venci.hadzhiyski@gmail.com</t>
  </si>
  <si>
    <t>Onderhoudsbedrijf Fenix</t>
  </si>
  <si>
    <t>T.S.</t>
  </si>
  <si>
    <t>Fahrenheitstraat 257 1E</t>
  </si>
  <si>
    <t>2561DV</t>
  </si>
  <si>
    <t>0634061827</t>
  </si>
  <si>
    <t>NL82INGB0005993532</t>
  </si>
  <si>
    <t>NL002477006B44</t>
  </si>
  <si>
    <t>ceco.stoyanov0590@gmail.com</t>
  </si>
  <si>
    <t>Stoyanov</t>
  </si>
  <si>
    <t>Onderhoudsbedrijf Mitko</t>
  </si>
  <si>
    <t>Dedemsvaartweg 1044</t>
  </si>
  <si>
    <t>2545BG</t>
  </si>
  <si>
    <t>0645753738</t>
  </si>
  <si>
    <t>NL16SNSB0320130134</t>
  </si>
  <si>
    <t>NL002506050B63</t>
  </si>
  <si>
    <t>cholakov.1985@abv.bg</t>
  </si>
  <si>
    <t>Cholakov</t>
  </si>
  <si>
    <t>Onderhoudsbedrijf Tiana VOF</t>
  </si>
  <si>
    <t>B.L.</t>
  </si>
  <si>
    <t>Lindenlaan 39</t>
  </si>
  <si>
    <t>Leimuiden</t>
  </si>
  <si>
    <t>2451 CB</t>
  </si>
  <si>
    <t>0683928331</t>
  </si>
  <si>
    <t>NL90INGB0009388970</t>
  </si>
  <si>
    <t>NL861078536B01</t>
  </si>
  <si>
    <t>borko1177@gmail.com</t>
  </si>
  <si>
    <t>Onderhoudsbedrijf Todor</t>
  </si>
  <si>
    <t>T.D.</t>
  </si>
  <si>
    <t>2531 EE</t>
  </si>
  <si>
    <t>0657515024</t>
  </si>
  <si>
    <t>NL57INGB0004832989</t>
  </si>
  <si>
    <t>NL002512955B95</t>
  </si>
  <si>
    <t>trenovtodor@gmail.com</t>
  </si>
  <si>
    <t>Orican</t>
  </si>
  <si>
    <t>Thijssestraat 281</t>
  </si>
  <si>
    <t>2521ZH</t>
  </si>
  <si>
    <t>0685855382</t>
  </si>
  <si>
    <t>NL42INGB0006798673</t>
  </si>
  <si>
    <t>NL002518483B07</t>
  </si>
  <si>
    <t>orhanahmedov8383@gmail.com</t>
  </si>
  <si>
    <t>PANTEK</t>
  </si>
  <si>
    <t>Z.</t>
  </si>
  <si>
    <t>Loenensestraat 155</t>
  </si>
  <si>
    <t>0686269561</t>
  </si>
  <si>
    <t>NL36INGB0774324376</t>
  </si>
  <si>
    <t>NL004712609B36</t>
  </si>
  <si>
    <t>zoran.pantekoski@gmail.com</t>
  </si>
  <si>
    <t>Pantekoski</t>
  </si>
  <si>
    <t>Paradox BG</t>
  </si>
  <si>
    <t>I.H.</t>
  </si>
  <si>
    <t>2518SM</t>
  </si>
  <si>
    <t>0687122765</t>
  </si>
  <si>
    <t>NL32INGB0102254516</t>
  </si>
  <si>
    <t>NL004847382B64</t>
  </si>
  <si>
    <t>8kamenski8@gmail.com</t>
  </si>
  <si>
    <t>Kamenski</t>
  </si>
  <si>
    <t>Parel 93</t>
  </si>
  <si>
    <t>De Genestetlaan 221</t>
  </si>
  <si>
    <t>2522LH</t>
  </si>
  <si>
    <t>0647303504</t>
  </si>
  <si>
    <t>NL43INGB0009182818</t>
  </si>
  <si>
    <t>NL002491452B10</t>
  </si>
  <si>
    <t>todorov.parel93@gmail.com</t>
  </si>
  <si>
    <t>Pava Decoratie</t>
  </si>
  <si>
    <t>0614233864</t>
  </si>
  <si>
    <t>NL004913765B40</t>
  </si>
  <si>
    <t>galinaslivks@gmail.com</t>
  </si>
  <si>
    <t>Pema-Afbouw VOF</t>
  </si>
  <si>
    <t>Stellendamstraat 95</t>
  </si>
  <si>
    <t>2729LG</t>
  </si>
  <si>
    <t>0681627410</t>
  </si>
  <si>
    <t>NL78INGB0006267241</t>
  </si>
  <si>
    <t>NL863748156B01</t>
  </si>
  <si>
    <t>pema.afbouw@gmail.com</t>
  </si>
  <si>
    <t>Zaponcek</t>
  </si>
  <si>
    <t>Petko dak88</t>
  </si>
  <si>
    <t>Binnendijk 4</t>
  </si>
  <si>
    <t>8244AG</t>
  </si>
  <si>
    <t>+31687078301</t>
  </si>
  <si>
    <t>NL81INGB0107834820</t>
  </si>
  <si>
    <t>NL005123384B22</t>
  </si>
  <si>
    <t>acho_petrov@hotmail.com</t>
  </si>
  <si>
    <t>Petkov Transport B.V.</t>
  </si>
  <si>
    <t>NL93INGB0007769210</t>
  </si>
  <si>
    <t>NL857520398B01</t>
  </si>
  <si>
    <t>milenpetkov779@gmail.com</t>
  </si>
  <si>
    <t>PIP Transport (Palamidov Pro)</t>
  </si>
  <si>
    <t>P.I.</t>
  </si>
  <si>
    <t>Julianastraat 27D</t>
  </si>
  <si>
    <t>Waalwijk</t>
  </si>
  <si>
    <t>5141GL</t>
  </si>
  <si>
    <t>0686364962</t>
  </si>
  <si>
    <t>NL60INGB0398622671</t>
  </si>
  <si>
    <t>NL004484523B96</t>
  </si>
  <si>
    <t>piptransport@yahoo.com</t>
  </si>
  <si>
    <t>Palamidov</t>
  </si>
  <si>
    <t>Plamih</t>
  </si>
  <si>
    <t>P.B.</t>
  </si>
  <si>
    <t>Franklinstraat 124C</t>
  </si>
  <si>
    <t>2562CK</t>
  </si>
  <si>
    <t>0617964636</t>
  </si>
  <si>
    <t>NL89INGB0007237528</t>
  </si>
  <si>
    <t>NL002493546B78</t>
  </si>
  <si>
    <t>plamen_mihtarski@abv.bg</t>
  </si>
  <si>
    <t>Mitharski</t>
  </si>
  <si>
    <t>PPG Bouw</t>
  </si>
  <si>
    <t>P.P.</t>
  </si>
  <si>
    <t>Meerstraat 30</t>
  </si>
  <si>
    <t>Heeswijk-Dinther</t>
  </si>
  <si>
    <t>5473VX</t>
  </si>
  <si>
    <t>0641288739</t>
  </si>
  <si>
    <t>NL30 REVO 5519 3926 84</t>
  </si>
  <si>
    <t>NL004804805B10</t>
  </si>
  <si>
    <t>pecatag66@gmail.com</t>
  </si>
  <si>
    <t>PPM Bouw</t>
  </si>
  <si>
    <t>Herman Costerstraat 349</t>
  </si>
  <si>
    <t>2571PL</t>
  </si>
  <si>
    <t>0687063440</t>
  </si>
  <si>
    <t>NL92INGB0111017289</t>
  </si>
  <si>
    <t>NL005213601B56</t>
  </si>
  <si>
    <t>petromidlik@gmail.com</t>
  </si>
  <si>
    <t>Mydlyk</t>
  </si>
  <si>
    <t>PPP-Transport Service</t>
  </si>
  <si>
    <t>Mandarijngaard 15</t>
  </si>
  <si>
    <t>3206AM</t>
  </si>
  <si>
    <t>0614226015</t>
  </si>
  <si>
    <t>NL68INGB0106010387</t>
  </si>
  <si>
    <t>NL004898619B69</t>
  </si>
  <si>
    <t>petarpeteov1977@gmail.com</t>
  </si>
  <si>
    <t>PRIMAT-84</t>
  </si>
  <si>
    <t>Drostendreef 41</t>
  </si>
  <si>
    <t>2542VX</t>
  </si>
  <si>
    <t>0687566584</t>
  </si>
  <si>
    <t>NL51INGB0008839100</t>
  </si>
  <si>
    <t>NL002494864B51</t>
  </si>
  <si>
    <t>adjmii@hotmail.com</t>
  </si>
  <si>
    <t>ProBuilding Lashkov VOF</t>
  </si>
  <si>
    <t>L.S.</t>
  </si>
  <si>
    <t>Zegenstraat 5-A</t>
  </si>
  <si>
    <t>0627438320</t>
  </si>
  <si>
    <t>NL40INGB0112095798</t>
  </si>
  <si>
    <t>NL868032827B01</t>
  </si>
  <si>
    <t>lubomir_lashkov@abv.bg</t>
  </si>
  <si>
    <t>Progres Interbouw VOF</t>
  </si>
  <si>
    <t>Van Stein Callenfelsstraat 39</t>
  </si>
  <si>
    <t>2283JC</t>
  </si>
  <si>
    <t>0641335929</t>
  </si>
  <si>
    <t>NL34INGB0006733051</t>
  </si>
  <si>
    <t>NL862700000B01</t>
  </si>
  <si>
    <t>sabayraktarov@gmail.com</t>
  </si>
  <si>
    <t>Bayraktarov</t>
  </si>
  <si>
    <t>R.S Sprinkler Montage (RA.SI Schoonmaakbedrijf)</t>
  </si>
  <si>
    <t>D.Y.</t>
  </si>
  <si>
    <t>Bastion 261</t>
  </si>
  <si>
    <t>8223GN</t>
  </si>
  <si>
    <t>0613331665</t>
  </si>
  <si>
    <t>NL90INGB0398034311</t>
  </si>
  <si>
    <t>NL004369134B18</t>
  </si>
  <si>
    <t>raya27032017@gmail.com</t>
  </si>
  <si>
    <t>Radi-80 VOF</t>
  </si>
  <si>
    <t>R.K.</t>
  </si>
  <si>
    <t>Bragastraat 120</t>
  </si>
  <si>
    <t>0684664890</t>
  </si>
  <si>
    <t>NL98INGB0007528366</t>
  </si>
  <si>
    <t>NL862494539B01</t>
  </si>
  <si>
    <t>radi.hadzhiev18@gmail.com</t>
  </si>
  <si>
    <t>Rafo Bouw</t>
  </si>
  <si>
    <t>R.N.</t>
  </si>
  <si>
    <t>Provincialeweg 59</t>
  </si>
  <si>
    <t>Velddriel</t>
  </si>
  <si>
    <t>5334JD</t>
  </si>
  <si>
    <t>0644148195</t>
  </si>
  <si>
    <t>NL97INGB0106277391</t>
  </si>
  <si>
    <t>NL004990016B56</t>
  </si>
  <si>
    <t>rafetnasuf89@abv.bg</t>
  </si>
  <si>
    <t>Nasuf</t>
  </si>
  <si>
    <t>Ralitsa 08</t>
  </si>
  <si>
    <t>Goeverneurlaan 565</t>
  </si>
  <si>
    <t>2523CE</t>
  </si>
  <si>
    <t>0651592388</t>
  </si>
  <si>
    <t>NL33INGB0008979104</t>
  </si>
  <si>
    <t>NL003643521B10</t>
  </si>
  <si>
    <t>akaramfilov5@gmail.com</t>
  </si>
  <si>
    <t>Karamfilov</t>
  </si>
  <si>
    <t>Rango Bouw</t>
  </si>
  <si>
    <t>Gusthuissteeg 17</t>
  </si>
  <si>
    <t>PURMEREND</t>
  </si>
  <si>
    <t>1441BJ</t>
  </si>
  <si>
    <t>0685334351</t>
  </si>
  <si>
    <t>NL70INGB0007467566</t>
  </si>
  <si>
    <t>NL003245297B70</t>
  </si>
  <si>
    <t>mateskigoran04@gmail.com</t>
  </si>
  <si>
    <t>Mateski</t>
  </si>
  <si>
    <t>Ratal Bouw</t>
  </si>
  <si>
    <t>O.</t>
  </si>
  <si>
    <t>Pompe van Meerdervoortstraat 15</t>
  </si>
  <si>
    <t>s-Gravenzande</t>
  </si>
  <si>
    <t>2691CA</t>
  </si>
  <si>
    <t>0687669034</t>
  </si>
  <si>
    <t>NL88INGB0103655255</t>
  </si>
  <si>
    <t>NL004883351B32</t>
  </si>
  <si>
    <t>ratalsky@icloud.com</t>
  </si>
  <si>
    <t>Ratalskyi</t>
  </si>
  <si>
    <t>Raycho 73</t>
  </si>
  <si>
    <t>0616623586</t>
  </si>
  <si>
    <t>NL03INGB0007293881</t>
  </si>
  <si>
    <t>NL002467341B20</t>
  </si>
  <si>
    <t>raychozelenkov@gmail.com</t>
  </si>
  <si>
    <t>Raykov Infra - gemaild - Achterstand BORA</t>
  </si>
  <si>
    <t>Nunspeetlaan 245</t>
  </si>
  <si>
    <t>2573GC</t>
  </si>
  <si>
    <t>0685456362</t>
  </si>
  <si>
    <t>NL22INGB0106912151</t>
  </si>
  <si>
    <t>NL004954368B12</t>
  </si>
  <si>
    <t>velevgiorgi@gmail.com</t>
  </si>
  <si>
    <t>Recht Totaal Afbouw B.V.</t>
  </si>
  <si>
    <t>Z.F.</t>
  </si>
  <si>
    <t>Kruyderlaan 136</t>
  </si>
  <si>
    <t>Nieuwegein</t>
  </si>
  <si>
    <t>3431BT</t>
  </si>
  <si>
    <t>0614515595</t>
  </si>
  <si>
    <t>NL78INGB0676050689</t>
  </si>
  <si>
    <t>NL864447097B01</t>
  </si>
  <si>
    <t>bulbros@gmail.com</t>
  </si>
  <si>
    <t>Bezergyanov</t>
  </si>
  <si>
    <t>Recht Totaal B.V</t>
  </si>
  <si>
    <t>00310614515595</t>
  </si>
  <si>
    <t>NL864446561B01</t>
  </si>
  <si>
    <t>zdravko@rechtbouwbv.nl</t>
  </si>
  <si>
    <t>Respect Glasvezel</t>
  </si>
  <si>
    <t>A S</t>
  </si>
  <si>
    <t>Driebergenstraat 303</t>
  </si>
  <si>
    <t>2546 BH</t>
  </si>
  <si>
    <t>0684671860</t>
  </si>
  <si>
    <t>NL37INGB0007862271</t>
  </si>
  <si>
    <t>NL003088122B94</t>
  </si>
  <si>
    <t>marinovangel94@gmail.com</t>
  </si>
  <si>
    <t>Marinov</t>
  </si>
  <si>
    <t>Richi 96</t>
  </si>
  <si>
    <t>Staverdenstraat 22</t>
  </si>
  <si>
    <t>2573DD</t>
  </si>
  <si>
    <t>0684632609</t>
  </si>
  <si>
    <t>NL73INGB0007931948</t>
  </si>
  <si>
    <t>NL003209620B93</t>
  </si>
  <si>
    <t>mitko_ognyanov@abv.bg</t>
  </si>
  <si>
    <t>Ognyanov</t>
  </si>
  <si>
    <t>Richi 97</t>
  </si>
  <si>
    <t>Schlegelstraat 27</t>
  </si>
  <si>
    <t>2522PG</t>
  </si>
  <si>
    <t>0685104616</t>
  </si>
  <si>
    <t>NL21INGB0634990063</t>
  </si>
  <si>
    <t>NL004398758B55</t>
  </si>
  <si>
    <t>naziognyanova@gmail.com</t>
  </si>
  <si>
    <t>Ognyanova</t>
  </si>
  <si>
    <t>Rilko 78</t>
  </si>
  <si>
    <t>R.E.</t>
  </si>
  <si>
    <t>De Constant Rebecquestr. 44</t>
  </si>
  <si>
    <t>2518 RE</t>
  </si>
  <si>
    <t>0622886030</t>
  </si>
  <si>
    <t>NL32INGB0008343675</t>
  </si>
  <si>
    <t>NL005193431B02</t>
  </si>
  <si>
    <t>rilko7809@gmail.com</t>
  </si>
  <si>
    <t>Rise &amp; Shine with GDB</t>
  </si>
  <si>
    <t>Laan van Bovenduist 206</t>
  </si>
  <si>
    <t>Amersfoort</t>
  </si>
  <si>
    <t>3826JA</t>
  </si>
  <si>
    <t>0625284008</t>
  </si>
  <si>
    <t>NL53INGB0007838994</t>
  </si>
  <si>
    <t>NL003373353B23</t>
  </si>
  <si>
    <t>geribogdanova98@gmail.com</t>
  </si>
  <si>
    <t>Bogdanova</t>
  </si>
  <si>
    <t>Rocon Klussenbedrijf - gemaild - Q2 niet betaald</t>
  </si>
  <si>
    <t>Vinkensteynstraat 45</t>
  </si>
  <si>
    <t>2562TM</t>
  </si>
  <si>
    <t>0682490620</t>
  </si>
  <si>
    <t>NL30INGB0009527111</t>
  </si>
  <si>
    <t>NL003573143B02</t>
  </si>
  <si>
    <t>roconco@gmail.com</t>
  </si>
  <si>
    <t>Consulov</t>
  </si>
  <si>
    <t>Rodopski</t>
  </si>
  <si>
    <t>Janssoniusstraat 103</t>
  </si>
  <si>
    <t>0687843196</t>
  </si>
  <si>
    <t>NL60INGB0007253570</t>
  </si>
  <si>
    <t>NL002488903B59</t>
  </si>
  <si>
    <t>rodopskievgeni@gmail.com</t>
  </si>
  <si>
    <t>Roko Yanev</t>
  </si>
  <si>
    <t>C.V.</t>
  </si>
  <si>
    <t>2535 ZA</t>
  </si>
  <si>
    <t>0645882730</t>
  </si>
  <si>
    <t>NL66INGB0675986109</t>
  </si>
  <si>
    <t>NL003928715B78</t>
  </si>
  <si>
    <t>chavdaryanev75@gmail.com</t>
  </si>
  <si>
    <t>Roots Street Wear</t>
  </si>
  <si>
    <t>Capelseweg 176</t>
  </si>
  <si>
    <t>Capelle a/d IJssel</t>
  </si>
  <si>
    <t>2907XD</t>
  </si>
  <si>
    <t>0646047505</t>
  </si>
  <si>
    <t>NL08INGB0006900165</t>
  </si>
  <si>
    <t>NL415794109B01</t>
  </si>
  <si>
    <t>info@iamaleksandar.com</t>
  </si>
  <si>
    <t>Rosa Transport</t>
  </si>
  <si>
    <t>S.C.</t>
  </si>
  <si>
    <t>Delftseplein 29</t>
  </si>
  <si>
    <t>3013AA</t>
  </si>
  <si>
    <t>0629550111</t>
  </si>
  <si>
    <t>NL26INGB0104947926</t>
  </si>
  <si>
    <t>NL004875708B46</t>
  </si>
  <si>
    <t>shuneleyrosa@gmail.com</t>
  </si>
  <si>
    <t>Rosa</t>
  </si>
  <si>
    <t>Rosalina Flex</t>
  </si>
  <si>
    <t>R.S.</t>
  </si>
  <si>
    <t>Kaapstraat 121</t>
  </si>
  <si>
    <t>2572HG</t>
  </si>
  <si>
    <t>0618543765</t>
  </si>
  <si>
    <t>NL32INGB0675347491</t>
  </si>
  <si>
    <t>NL004095383B74</t>
  </si>
  <si>
    <t>rosalinamihailova@gmail.com</t>
  </si>
  <si>
    <t>Mihaylova</t>
  </si>
  <si>
    <t>Rosenov Loonbedrijf</t>
  </si>
  <si>
    <t>Regentesselaan 347 A</t>
  </si>
  <si>
    <t>2562ED</t>
  </si>
  <si>
    <t>0686253452</t>
  </si>
  <si>
    <t>NL24INGB0006136196</t>
  </si>
  <si>
    <t>NL003181383B86</t>
  </si>
  <si>
    <t>nikolainiki171@gmail.com</t>
  </si>
  <si>
    <t>Rosenov</t>
  </si>
  <si>
    <t>RS Angelov VOF</t>
  </si>
  <si>
    <t>S.S.</t>
  </si>
  <si>
    <t>Rozenburgstraat 12</t>
  </si>
  <si>
    <t>2512ST</t>
  </si>
  <si>
    <t>0684908440</t>
  </si>
  <si>
    <t>NL49INGB0009324330</t>
  </si>
  <si>
    <t>NL861762708B01</t>
  </si>
  <si>
    <t>svetlio1979rs@abv.bg</t>
  </si>
  <si>
    <t>Rumen Miryana VOF</t>
  </si>
  <si>
    <t>Meidoornstraat 144</t>
  </si>
  <si>
    <t>2563 GL</t>
  </si>
  <si>
    <t>0686212543</t>
  </si>
  <si>
    <t>NL70INGB0007459418</t>
  </si>
  <si>
    <t>NL862525081B01</t>
  </si>
  <si>
    <t>rumenmiryana@gmail.com</t>
  </si>
  <si>
    <t>Rumen SD</t>
  </si>
  <si>
    <t>0639030323</t>
  </si>
  <si>
    <t>NL19INGB0008943466</t>
  </si>
  <si>
    <t>NL002484809B45</t>
  </si>
  <si>
    <t>rumensd1@gmail.com</t>
  </si>
  <si>
    <t>Rumenov Flex - gemaild - Achterstand BORA</t>
  </si>
  <si>
    <t>0687516099</t>
  </si>
  <si>
    <t>NL28INGB0009118874</t>
  </si>
  <si>
    <t>NL003158921B96</t>
  </si>
  <si>
    <t>jivkorumenov12345@gmail.com</t>
  </si>
  <si>
    <t>Zhelev</t>
  </si>
  <si>
    <t>RYMS Service</t>
  </si>
  <si>
    <t>Schlegelstraat 68</t>
  </si>
  <si>
    <t>2522PN</t>
  </si>
  <si>
    <t>0617957693</t>
  </si>
  <si>
    <t>NL81INGB0009248773</t>
  </si>
  <si>
    <t>NL002476024B55</t>
  </si>
  <si>
    <t>rumen.yankow@gmail.com</t>
  </si>
  <si>
    <t>S. Kucuk</t>
  </si>
  <si>
    <t>Wateringsestraat 262</t>
  </si>
  <si>
    <t>2512 PT</t>
  </si>
  <si>
    <t>0682424799</t>
  </si>
  <si>
    <t>NL66INGB0008410575</t>
  </si>
  <si>
    <t>NL002472112B52</t>
  </si>
  <si>
    <t>kucukserkan94@gmail.com</t>
  </si>
  <si>
    <t>Kyucyuk</t>
  </si>
  <si>
    <t>S.H.V. Onderhoudsbedrijf</t>
  </si>
  <si>
    <t>S.H.</t>
  </si>
  <si>
    <t>Columbusstraat 271 C</t>
  </si>
  <si>
    <t>2561AL</t>
  </si>
  <si>
    <t>0646116989</t>
  </si>
  <si>
    <t>NL16RABO0148763235</t>
  </si>
  <si>
    <t>NL002455418B45</t>
  </si>
  <si>
    <t>svilenvelichkov@yahoo.com</t>
  </si>
  <si>
    <t>Velichkov</t>
  </si>
  <si>
    <t>S.R.S. Bouwbedrijf</t>
  </si>
  <si>
    <t>Hulshorststraat 3</t>
  </si>
  <si>
    <t>2573 EA</t>
  </si>
  <si>
    <t>0634610481</t>
  </si>
  <si>
    <t>NL95INGB0101450028</t>
  </si>
  <si>
    <t>NL004699585B76</t>
  </si>
  <si>
    <t>shefket_shefket@abv.bg</t>
  </si>
  <si>
    <t>SABO Renovatie</t>
  </si>
  <si>
    <t>Badhuisstraat 216</t>
  </si>
  <si>
    <t>2584HN</t>
  </si>
  <si>
    <t>+31 6 81 03 40 28</t>
  </si>
  <si>
    <t>NL64INGB0395747422</t>
  </si>
  <si>
    <t>NL004311874B94</t>
  </si>
  <si>
    <t>infoo.sabo@gmail.com</t>
  </si>
  <si>
    <t>Kuz</t>
  </si>
  <si>
    <t>SabSa</t>
  </si>
  <si>
    <t>S.B</t>
  </si>
  <si>
    <t>Leyweg 962</t>
  </si>
  <si>
    <t>2545 GV</t>
  </si>
  <si>
    <t>0614616217</t>
  </si>
  <si>
    <t>NL60INGB0007594622</t>
  </si>
  <si>
    <t>NL002485666B92</t>
  </si>
  <si>
    <t>sabriii1982@gmail.com</t>
  </si>
  <si>
    <t>Sabri</t>
  </si>
  <si>
    <t>Sadu Bouw VOF</t>
  </si>
  <si>
    <t>Van Zeggelenlaan 340</t>
  </si>
  <si>
    <t>0683875940</t>
  </si>
  <si>
    <t>NL40INGB0008380585</t>
  </si>
  <si>
    <t>NL859953427B01</t>
  </si>
  <si>
    <t>sadubouw18.emsi@gmail.com</t>
  </si>
  <si>
    <t>Duraliev</t>
  </si>
  <si>
    <t>Saleks</t>
  </si>
  <si>
    <t>Paulinastraat 89</t>
  </si>
  <si>
    <t>2595GH</t>
  </si>
  <si>
    <t>0642261875</t>
  </si>
  <si>
    <t>NL56INGB0675619823</t>
  </si>
  <si>
    <t>NL003577617B88</t>
  </si>
  <si>
    <t>SALEKS1305@GMAIL.COM</t>
  </si>
  <si>
    <t>Nishanov</t>
  </si>
  <si>
    <t>Salim Madzhar</t>
  </si>
  <si>
    <t>S.V.</t>
  </si>
  <si>
    <t>Majubastraat 79</t>
  </si>
  <si>
    <t>2572NV</t>
  </si>
  <si>
    <t>0616940133</t>
  </si>
  <si>
    <t>NL43INGB0008407982</t>
  </si>
  <si>
    <t>NL003187526B89</t>
  </si>
  <si>
    <t>salimmadzhar@gmail.com</t>
  </si>
  <si>
    <t>Madzhar</t>
  </si>
  <si>
    <t>Salim83</t>
  </si>
  <si>
    <t>Jasmijnstraat 7</t>
  </si>
  <si>
    <t>2563 RR</t>
  </si>
  <si>
    <t>0641351211</t>
  </si>
  <si>
    <t>NL70INGB0008056744</t>
  </si>
  <si>
    <t>NL002510040B43</t>
  </si>
  <si>
    <t>salim_ibrahim@abv.bg</t>
  </si>
  <si>
    <t>Ibrahim</t>
  </si>
  <si>
    <t>Salipeski Bouw</t>
  </si>
  <si>
    <t>0685493313</t>
  </si>
  <si>
    <t>NL13INGB0009018264</t>
  </si>
  <si>
    <t>NL002484303B40</t>
  </si>
  <si>
    <t>ayazsaliev@gmail.com</t>
  </si>
  <si>
    <t>Tyulogluev</t>
  </si>
  <si>
    <t>San Klussenbedrijf</t>
  </si>
  <si>
    <t>Hobbemastraat 240 A</t>
  </si>
  <si>
    <t>2526JV</t>
  </si>
  <si>
    <t>0620259356</t>
  </si>
  <si>
    <t>NL97RABO0147978793</t>
  </si>
  <si>
    <t>NL002458313B83</t>
  </si>
  <si>
    <t>stanimir.zaimov@gmail.com</t>
  </si>
  <si>
    <t>Zaimov</t>
  </si>
  <si>
    <t>Sanik Bouw VOF</t>
  </si>
  <si>
    <t>Velpsestraat 75</t>
  </si>
  <si>
    <t>2573SE</t>
  </si>
  <si>
    <t>0659311347</t>
  </si>
  <si>
    <t>NL22INGB0007804147</t>
  </si>
  <si>
    <t>NL863740704B01</t>
  </si>
  <si>
    <t>iliaasenov@gmail.com</t>
  </si>
  <si>
    <t>Sank Bouw</t>
  </si>
  <si>
    <t>Heesterstraat 2</t>
  </si>
  <si>
    <t>2563RC</t>
  </si>
  <si>
    <t>0623421498</t>
  </si>
  <si>
    <t>NL69INGB0006681884</t>
  </si>
  <si>
    <t>NL002483497B19</t>
  </si>
  <si>
    <t>sanka1969@abv.bg</t>
  </si>
  <si>
    <t>Ibrahimov</t>
  </si>
  <si>
    <t>Self Bouw ZZP</t>
  </si>
  <si>
    <t>S.F.</t>
  </si>
  <si>
    <t>Buitentuinen 51</t>
  </si>
  <si>
    <t>2551 VX</t>
  </si>
  <si>
    <t>0618583167</t>
  </si>
  <si>
    <t>NL81INGB0007377449</t>
  </si>
  <si>
    <t>NL002491037B59</t>
  </si>
  <si>
    <t>selfbouw09@gmail.com</t>
  </si>
  <si>
    <t>Kikyov</t>
  </si>
  <si>
    <t>SER Trans VOF</t>
  </si>
  <si>
    <t>Mathijsenstraat 50</t>
  </si>
  <si>
    <t>2035CN</t>
  </si>
  <si>
    <t>0626449000</t>
  </si>
  <si>
    <t>NL52INGB0007853659</t>
  </si>
  <si>
    <t>NL857984214B01</t>
  </si>
  <si>
    <t>sedatbenebul@hotmail.com</t>
  </si>
  <si>
    <t>Serki-Ersi VOF</t>
  </si>
  <si>
    <t>B.O.</t>
  </si>
  <si>
    <t>Schelfhout 31</t>
  </si>
  <si>
    <t>Monster</t>
  </si>
  <si>
    <t>2681JS</t>
  </si>
  <si>
    <t>0624478959</t>
  </si>
  <si>
    <t>NL25INGB0006607501</t>
  </si>
  <si>
    <t>NL863885172B01</t>
  </si>
  <si>
    <t>chaparsezen@gmail.com</t>
  </si>
  <si>
    <t>Demiranov</t>
  </si>
  <si>
    <t>Service plus Derekh</t>
  </si>
  <si>
    <t>Hendrik Madestraat 45</t>
  </si>
  <si>
    <t>2531TV</t>
  </si>
  <si>
    <t>0687712419</t>
  </si>
  <si>
    <t>NL86INGB0103936882</t>
  </si>
  <si>
    <t>NL004799229B45</t>
  </si>
  <si>
    <t>olehderekh5@gmail.com</t>
  </si>
  <si>
    <t>Derekh</t>
  </si>
  <si>
    <t>SETA Invest B.V.</t>
  </si>
  <si>
    <t>Dr. Lelykade 271</t>
  </si>
  <si>
    <t>2583JZ</t>
  </si>
  <si>
    <t>0648174618</t>
  </si>
  <si>
    <t>NL40INGB0006911908</t>
  </si>
  <si>
    <t>NL860859253B01</t>
  </si>
  <si>
    <t>hristina.mallinova@gmail.com</t>
  </si>
  <si>
    <t>Malinova</t>
  </si>
  <si>
    <t>Seyhanov Bouw</t>
  </si>
  <si>
    <t>Van Zeggelenlaan 389</t>
  </si>
  <si>
    <t>2524AM</t>
  </si>
  <si>
    <t>0687857865</t>
  </si>
  <si>
    <t>NL19INGB0105790109</t>
  </si>
  <si>
    <t>NL005004255B42</t>
  </si>
  <si>
    <t>djoskun_aliev@abv.bg</t>
  </si>
  <si>
    <t>Aliev</t>
  </si>
  <si>
    <t>Seza Bouw</t>
  </si>
  <si>
    <t>Laan van Meerdervoort 85E</t>
  </si>
  <si>
    <t>2517AT</t>
  </si>
  <si>
    <t>0684145929</t>
  </si>
  <si>
    <t>NL43INGB008626539</t>
  </si>
  <si>
    <t>NL005114868B36</t>
  </si>
  <si>
    <t>sergijzagorodnij81@gmail.com</t>
  </si>
  <si>
    <t>Zahorodnii</t>
  </si>
  <si>
    <t>Shine Dent Care</t>
  </si>
  <si>
    <t>V.K.</t>
  </si>
  <si>
    <t>0628481393</t>
  </si>
  <si>
    <t>NL62INGB0009467656</t>
  </si>
  <si>
    <t>NL003847402B30</t>
  </si>
  <si>
    <t>viktoriya.asenova12@gmail.com</t>
  </si>
  <si>
    <t>Shopa 0808</t>
  </si>
  <si>
    <t>Y.B.</t>
  </si>
  <si>
    <t>0685173876</t>
  </si>
  <si>
    <t>NL49INGB0108629147</t>
  </si>
  <si>
    <t>NL005119457B57</t>
  </si>
  <si>
    <t>iordanmihailov657@gmail.com</t>
  </si>
  <si>
    <t>Simlo Techniek</t>
  </si>
  <si>
    <t>S.E.</t>
  </si>
  <si>
    <t>Regentesselaan 239</t>
  </si>
  <si>
    <t>2562CZ</t>
  </si>
  <si>
    <t>0626369388</t>
  </si>
  <si>
    <t>NL02INGB0009357283</t>
  </si>
  <si>
    <t>NL003215018B11</t>
  </si>
  <si>
    <t>simlo.rbc@gmail.com</t>
  </si>
  <si>
    <t>Loytov</t>
  </si>
  <si>
    <t>Sina Bouw</t>
  </si>
  <si>
    <t>De la Reyweg 773</t>
  </si>
  <si>
    <t>0683837380</t>
  </si>
  <si>
    <t>NL67INGB0005143694</t>
  </si>
  <si>
    <t>NL003690724B43</t>
  </si>
  <si>
    <t>sinadanlas@gmail.com</t>
  </si>
  <si>
    <t>Sinadanla</t>
  </si>
  <si>
    <t>Sinan Aju</t>
  </si>
  <si>
    <t>Isingstraat 51</t>
  </si>
  <si>
    <t>2522 JL</t>
  </si>
  <si>
    <t>0657357385</t>
  </si>
  <si>
    <t>NL60INGB0104133678</t>
  </si>
  <si>
    <t>NL004810450B33</t>
  </si>
  <si>
    <t>sinan.aju2411@gmail.com</t>
  </si>
  <si>
    <t>Yuzeir</t>
  </si>
  <si>
    <t>Sincov construction</t>
  </si>
  <si>
    <t>I.L.</t>
  </si>
  <si>
    <t>Koningin Emmakade 62</t>
  </si>
  <si>
    <t>2518RL</t>
  </si>
  <si>
    <t>0613726376</t>
  </si>
  <si>
    <t>NL39INGB0006824044</t>
  </si>
  <si>
    <t>NL002478830B21</t>
  </si>
  <si>
    <t>jura4445@gmail.com</t>
  </si>
  <si>
    <t>Sincov</t>
  </si>
  <si>
    <t>SLAVI2013</t>
  </si>
  <si>
    <t>Schlegelstraat 112</t>
  </si>
  <si>
    <t>2522PR</t>
  </si>
  <si>
    <t>0610776669</t>
  </si>
  <si>
    <t>NL53INGB0007990120</t>
  </si>
  <si>
    <t>NL002486006B39</t>
  </si>
  <si>
    <t>slavi2013@axentis.nl</t>
  </si>
  <si>
    <t>Stoev</t>
  </si>
  <si>
    <t>Slavkata Bouw</t>
  </si>
  <si>
    <t>S.Z.</t>
  </si>
  <si>
    <t>Karel de Geerstraat 38</t>
  </si>
  <si>
    <t>2522PC</t>
  </si>
  <si>
    <t>0633286888</t>
  </si>
  <si>
    <t>NL17INGB0008823707</t>
  </si>
  <si>
    <t>NL003134456B91</t>
  </si>
  <si>
    <t>statevslavkata@gmail.com</t>
  </si>
  <si>
    <t>Statev</t>
  </si>
  <si>
    <t>SLR Beheer B.V.</t>
  </si>
  <si>
    <t>Vissersdijk Beneden 70</t>
  </si>
  <si>
    <t>3319GW</t>
  </si>
  <si>
    <t>0031615242703</t>
  </si>
  <si>
    <t>NL868476481B01</t>
  </si>
  <si>
    <t>slrbeheer@zzp-nl.nl</t>
  </si>
  <si>
    <t>Hasanov</t>
  </si>
  <si>
    <t>SLR Logistics B.V.</t>
  </si>
  <si>
    <t>0615242703</t>
  </si>
  <si>
    <t>NL868477126B01</t>
  </si>
  <si>
    <t>administration@slrlogistics.nl</t>
  </si>
  <si>
    <t>SLR Transport VOF</t>
  </si>
  <si>
    <t>+31615242703</t>
  </si>
  <si>
    <t>NL25INGB0397992025</t>
  </si>
  <si>
    <t>NL864223535B01</t>
  </si>
  <si>
    <t>administration@slrtransport.nl</t>
  </si>
  <si>
    <t>Smart Montage VOF</t>
  </si>
  <si>
    <t>Guido Gezellestraat 199</t>
  </si>
  <si>
    <t>Voorburg</t>
  </si>
  <si>
    <t>2274EZ</t>
  </si>
  <si>
    <t>0684011022</t>
  </si>
  <si>
    <t>NL54INGB0111920558</t>
  </si>
  <si>
    <t>smart.montage4471@gmail.com</t>
  </si>
  <si>
    <t>Zhuk</t>
  </si>
  <si>
    <t>Sol Works B.V.</t>
  </si>
  <si>
    <t>0684337197</t>
  </si>
  <si>
    <t>NL07ABNA0552988995</t>
  </si>
  <si>
    <t>NL857244772B01</t>
  </si>
  <si>
    <t>solworks@zzp-nl.nl</t>
  </si>
  <si>
    <t>Sol Works Bemiddeling B.V.</t>
  </si>
  <si>
    <t>Noorderweg 28</t>
  </si>
  <si>
    <t>7902AR</t>
  </si>
  <si>
    <t>NL71ABNA0832716928</t>
  </si>
  <si>
    <t>NL859228174B01</t>
  </si>
  <si>
    <t>solworksbemiddeling@zzp-nl.nl</t>
  </si>
  <si>
    <t>Solaris Montage B.V.</t>
  </si>
  <si>
    <t>0630200472</t>
  </si>
  <si>
    <t>NL04ABNA0558432301</t>
  </si>
  <si>
    <t>NL857245260B01</t>
  </si>
  <si>
    <t>vasil_petrov@icloud.com</t>
  </si>
  <si>
    <t>SolarZone B.V.</t>
  </si>
  <si>
    <t>Spakenburgsestraat 32</t>
  </si>
  <si>
    <t>2574JW</t>
  </si>
  <si>
    <t>NL76INGB0007018930</t>
  </si>
  <si>
    <t>NL861304202B01</t>
  </si>
  <si>
    <t>SolarZone VOF</t>
  </si>
  <si>
    <t>0644335525</t>
  </si>
  <si>
    <t>NL73INGB0006660569</t>
  </si>
  <si>
    <t>NL859260781B01</t>
  </si>
  <si>
    <t>info@solarzone.nl</t>
  </si>
  <si>
    <t>Srebrin Kilev 69</t>
  </si>
  <si>
    <t>0624607504</t>
  </si>
  <si>
    <t>NL38INGB0674812913</t>
  </si>
  <si>
    <t>NL003992388B97</t>
  </si>
  <si>
    <t>srebrinkulev6900@gmail.com</t>
  </si>
  <si>
    <t>SST Techniek VOF</t>
  </si>
  <si>
    <t>Thomas A kempisstraat 3</t>
  </si>
  <si>
    <t>3117CA</t>
  </si>
  <si>
    <t>0657196736</t>
  </si>
  <si>
    <t>NL69INGB0110175840</t>
  </si>
  <si>
    <t>NL867055790B01</t>
  </si>
  <si>
    <t>nike09122@gmail.com</t>
  </si>
  <si>
    <t>Stanev Transport</t>
  </si>
  <si>
    <t>I.D.</t>
  </si>
  <si>
    <t>Franselaan 182</t>
  </si>
  <si>
    <t>3028AK</t>
  </si>
  <si>
    <t>0618523940</t>
  </si>
  <si>
    <t>NL17INGB0100064817</t>
  </si>
  <si>
    <t>NL004730034B60</t>
  </si>
  <si>
    <t>ivaylostanev1979@gmail.com</t>
  </si>
  <si>
    <t>Stanev</t>
  </si>
  <si>
    <t>Stanis Bouw</t>
  </si>
  <si>
    <t>0624869542</t>
  </si>
  <si>
    <t>NL76INGB0008675690</t>
  </si>
  <si>
    <t>NL003679799B10</t>
  </si>
  <si>
    <t>stanis1312s@gmail.com</t>
  </si>
  <si>
    <t>Stanislava88</t>
  </si>
  <si>
    <t>Weigeliaplein 37</t>
  </si>
  <si>
    <t>2563PH</t>
  </si>
  <si>
    <t>0684390708</t>
  </si>
  <si>
    <t>NL48INGB0675470781</t>
  </si>
  <si>
    <t>NL004103133B67</t>
  </si>
  <si>
    <t>simeonovastanislava74@gmail.com</t>
  </si>
  <si>
    <t>Simeonova</t>
  </si>
  <si>
    <t>Statev Bouw</t>
  </si>
  <si>
    <t>0618289837</t>
  </si>
  <si>
    <t>NL72INGB0008195030</t>
  </si>
  <si>
    <t>NL002470852B43</t>
  </si>
  <si>
    <t>dimo.ststev82@gmail.com</t>
  </si>
  <si>
    <t>Stefcho Demireva</t>
  </si>
  <si>
    <t>Helmersstraat 73 B</t>
  </si>
  <si>
    <t>0684940860</t>
  </si>
  <si>
    <t>NL53INGB0100922910</t>
  </si>
  <si>
    <t>NL004759992B98</t>
  </si>
  <si>
    <t>acehasenov@gmail.com</t>
  </si>
  <si>
    <t>Velkova</t>
  </si>
  <si>
    <t>Stefi Dinamik VOF</t>
  </si>
  <si>
    <t>Jan van Rodestraat 134</t>
  </si>
  <si>
    <t>0640636398</t>
  </si>
  <si>
    <t>NL97INGB0006162721</t>
  </si>
  <si>
    <t>NL862215808B01</t>
  </si>
  <si>
    <t>valentininfo86@gmail.com</t>
  </si>
  <si>
    <t>Stenly Afbouw B.V.</t>
  </si>
  <si>
    <t>0685473751</t>
  </si>
  <si>
    <t>NL67INGB0008591074</t>
  </si>
  <si>
    <t>NL859270002B01</t>
  </si>
  <si>
    <t>stenlyafbouw@gmail.com</t>
  </si>
  <si>
    <t>Stenly Beheer B.V.</t>
  </si>
  <si>
    <t>NL17INGB0008591101</t>
  </si>
  <si>
    <t>NL859269929B01</t>
  </si>
  <si>
    <t>stenlybeheer@gmail.com</t>
  </si>
  <si>
    <t>Stenly Uitzendbureau B.V.</t>
  </si>
  <si>
    <t>2573BR</t>
  </si>
  <si>
    <t>+31685473751</t>
  </si>
  <si>
    <t>NL864390087B01</t>
  </si>
  <si>
    <t>stenlyub@zzp-nl.nl</t>
  </si>
  <si>
    <t>Stichting Culturele Brug</t>
  </si>
  <si>
    <t>S.O.</t>
  </si>
  <si>
    <t>+359895466098</t>
  </si>
  <si>
    <t>NL868315060B01</t>
  </si>
  <si>
    <t>hrabrova@abv.bg</t>
  </si>
  <si>
    <t>Hrabrova</t>
  </si>
  <si>
    <t>Stichting EUnation</t>
  </si>
  <si>
    <t>NL12ABNA0829893253</t>
  </si>
  <si>
    <t>NL859047374B01</t>
  </si>
  <si>
    <t>info@eunation.nl</t>
  </si>
  <si>
    <t>STIL 19 VOF</t>
  </si>
  <si>
    <t>van Zeggelenlaan 369</t>
  </si>
  <si>
    <t>2524AL</t>
  </si>
  <si>
    <t>0684628310</t>
  </si>
  <si>
    <t>NL21INGB0007120509</t>
  </si>
  <si>
    <t>NL861338728B01</t>
  </si>
  <si>
    <t>trendafilov0404@gmail.com</t>
  </si>
  <si>
    <t>Trendafilov</t>
  </si>
  <si>
    <t>Stivsvet</t>
  </si>
  <si>
    <t>Kritzingerstraat 66</t>
  </si>
  <si>
    <t>2572XS</t>
  </si>
  <si>
    <t>0687524148</t>
  </si>
  <si>
    <t>NL02INGB0007948843</t>
  </si>
  <si>
    <t>NL003812306B62</t>
  </si>
  <si>
    <t>sergosimeonov66@gmail.com</t>
  </si>
  <si>
    <t>Simeonov</t>
  </si>
  <si>
    <t>Stoyanov 90</t>
  </si>
  <si>
    <t>Groenesteinstraat 44</t>
  </si>
  <si>
    <t>2512 SK</t>
  </si>
  <si>
    <t>0684377771</t>
  </si>
  <si>
    <t>NL12INGB0007659021</t>
  </si>
  <si>
    <t>NL003787780B24</t>
  </si>
  <si>
    <t>stoqnovstoqn202@gmail.com</t>
  </si>
  <si>
    <t>Stoyanov Diensten - gemaild - Achterstand BORA</t>
  </si>
  <si>
    <t>Spionkopstraat 66</t>
  </si>
  <si>
    <t>2572NN</t>
  </si>
  <si>
    <t>0685267185</t>
  </si>
  <si>
    <t>NL08INGB0673936961</t>
  </si>
  <si>
    <t>NL003863739B49</t>
  </si>
  <si>
    <t>stamenovstoqn711@gmail.com</t>
  </si>
  <si>
    <t>Strika 77</t>
  </si>
  <si>
    <t>Hugo Verrieststraat 74</t>
  </si>
  <si>
    <t>2524 CG</t>
  </si>
  <si>
    <t>0684957927</t>
  </si>
  <si>
    <t>NL92INGB0007414887</t>
  </si>
  <si>
    <t>NL002509523B40</t>
  </si>
  <si>
    <t>tanerhodzov@gmail.com</t>
  </si>
  <si>
    <t>Hodzhov</t>
  </si>
  <si>
    <t>Stukadoorsbedrijf Petrov</t>
  </si>
  <si>
    <t>Stellendamstraat 221</t>
  </si>
  <si>
    <t>0684730251</t>
  </si>
  <si>
    <t>NL87INGB0007618386</t>
  </si>
  <si>
    <t>NL003151058B53</t>
  </si>
  <si>
    <t>petrovrobert46@gmail.com</t>
  </si>
  <si>
    <t>Sulo Bouw</t>
  </si>
  <si>
    <t>Johan Gramstraat 28</t>
  </si>
  <si>
    <t>2522WZ</t>
  </si>
  <si>
    <t>0684829765</t>
  </si>
  <si>
    <t>NL98INGB0007475113</t>
  </si>
  <si>
    <t>NL002501110B97</t>
  </si>
  <si>
    <t>rusnakk343@gmail.com</t>
  </si>
  <si>
    <t>Myumyun</t>
  </si>
  <si>
    <t>SunBouw</t>
  </si>
  <si>
    <t>Wolweversgaarde 835</t>
  </si>
  <si>
    <t>2542 BH</t>
  </si>
  <si>
    <t>0628277939</t>
  </si>
  <si>
    <t>NL48INGB0008705100</t>
  </si>
  <si>
    <t>NL003600933B55</t>
  </si>
  <si>
    <t>sunaymollov6@gmail.com</t>
  </si>
  <si>
    <t>Mollov</t>
  </si>
  <si>
    <t>Svetrans VOF</t>
  </si>
  <si>
    <t>0636359339</t>
  </si>
  <si>
    <t>NL51INGB0007469460</t>
  </si>
  <si>
    <t>NL861326751B01</t>
  </si>
  <si>
    <t>transport@info-svetrans.nl</t>
  </si>
  <si>
    <t>SVKO Bouw</t>
  </si>
  <si>
    <t>Jan van der Heijdenstraat 4</t>
  </si>
  <si>
    <t>0645454435</t>
  </si>
  <si>
    <t>NL75INGB0008350661</t>
  </si>
  <si>
    <t>NL002508876B43</t>
  </si>
  <si>
    <t>sevdalinkochev21@gmail.com</t>
  </si>
  <si>
    <t>Kochev</t>
  </si>
  <si>
    <t>Systematic3 B.V.</t>
  </si>
  <si>
    <t>T.T.</t>
  </si>
  <si>
    <t>Boswinde 39</t>
  </si>
  <si>
    <t>2496WE</t>
  </si>
  <si>
    <t>0684506421</t>
  </si>
  <si>
    <t>NL868334388B01</t>
  </si>
  <si>
    <t>todor.milkov@hotmail.com</t>
  </si>
  <si>
    <t>Milkov</t>
  </si>
  <si>
    <t>Systematic3 Partners B.V.</t>
  </si>
  <si>
    <t>0031684506421</t>
  </si>
  <si>
    <t>NL868333566B01</t>
  </si>
  <si>
    <t>syspartners@zzp-nl.nl</t>
  </si>
  <si>
    <t>Takov Bouw</t>
  </si>
  <si>
    <t>0615567890</t>
  </si>
  <si>
    <t>NL04INGB0007569634</t>
  </si>
  <si>
    <t>NL003501244B06</t>
  </si>
  <si>
    <t>takovvalentin@gmail.com</t>
  </si>
  <si>
    <t>Takov</t>
  </si>
  <si>
    <t>Tanjik 2005</t>
  </si>
  <si>
    <t>Newtonplein 63 A</t>
  </si>
  <si>
    <t>2562 JX</t>
  </si>
  <si>
    <t>0624484330</t>
  </si>
  <si>
    <t>NL39INGB0007200016</t>
  </si>
  <si>
    <t>NL002501660B94</t>
  </si>
  <si>
    <t>vasil.syl@gmail.com</t>
  </si>
  <si>
    <t>Sul</t>
  </si>
  <si>
    <t>Tankista 77 VOF</t>
  </si>
  <si>
    <t>Thomas à Kempisstraat 3</t>
  </si>
  <si>
    <t>0685428505</t>
  </si>
  <si>
    <t>NL46INGB0006289448</t>
  </si>
  <si>
    <t>NL866101354B01</t>
  </si>
  <si>
    <t>tsstankista@gmail.com</t>
  </si>
  <si>
    <t>Tegelzettersbedrijf F&amp;M</t>
  </si>
  <si>
    <t>06551353390</t>
  </si>
  <si>
    <t>NL43INGB0105981737</t>
  </si>
  <si>
    <t>NL866183620B01</t>
  </si>
  <si>
    <t>info@fmtegels.nl</t>
  </si>
  <si>
    <t>TEP Bouw - gemaild - BORA achterstand</t>
  </si>
  <si>
    <t>Convivastraat 78</t>
  </si>
  <si>
    <t>0687755104</t>
  </si>
  <si>
    <t>NL87INGB0009560811</t>
  </si>
  <si>
    <t>NL003192588B24</t>
  </si>
  <si>
    <t>valio771106@gmail.com</t>
  </si>
  <si>
    <t>Valchev</t>
  </si>
  <si>
    <t>Teres bouw</t>
  </si>
  <si>
    <t>Menno ter Braakstraat 254</t>
  </si>
  <si>
    <t>2548EC</t>
  </si>
  <si>
    <t>0644594356</t>
  </si>
  <si>
    <t>NL83INGB0675904129</t>
  </si>
  <si>
    <t>NL004247996B77</t>
  </si>
  <si>
    <t>kolyatmm@gmail.com</t>
  </si>
  <si>
    <t>Tereshchuk</t>
  </si>
  <si>
    <t>Tesi Styling</t>
  </si>
  <si>
    <t>T. M.</t>
  </si>
  <si>
    <t>Tuinstraat 2</t>
  </si>
  <si>
    <t>Axel</t>
  </si>
  <si>
    <t>4571EX</t>
  </si>
  <si>
    <t>0687226567</t>
  </si>
  <si>
    <t>NL58INGB0007497755</t>
  </si>
  <si>
    <t>NL002478014B90</t>
  </si>
  <si>
    <t>tesistyling@gmail.com</t>
  </si>
  <si>
    <t>Marinova</t>
  </si>
  <si>
    <t>Tetiana Marushchak - Veselin Ivanov Bouw</t>
  </si>
  <si>
    <t>Pasteurstraat 76</t>
  </si>
  <si>
    <t>2522RM</t>
  </si>
  <si>
    <t>0630205419</t>
  </si>
  <si>
    <t>NL72INGB0007731273</t>
  </si>
  <si>
    <t>NL003765414B43</t>
  </si>
  <si>
    <t>tanamuleskova@gmail.com</t>
  </si>
  <si>
    <t>Marushchak</t>
  </si>
  <si>
    <t>Theo Bouw</t>
  </si>
  <si>
    <t>Goeverneurlaan 153</t>
  </si>
  <si>
    <t>0685115524</t>
  </si>
  <si>
    <t>NL67INGB0008400663</t>
  </si>
  <si>
    <t>NL002473514B44</t>
  </si>
  <si>
    <t>kambi1212@abv.bg</t>
  </si>
  <si>
    <t>Bachkov</t>
  </si>
  <si>
    <t>Tisho Bouw VOF</t>
  </si>
  <si>
    <t>T.I.</t>
  </si>
  <si>
    <t>2542NN</t>
  </si>
  <si>
    <t>0643471441</t>
  </si>
  <si>
    <t>NL28INGB0674709012</t>
  </si>
  <si>
    <t>NL867679189B01</t>
  </si>
  <si>
    <t>tisho85@gmail.com</t>
  </si>
  <si>
    <t>Topchiev76</t>
  </si>
  <si>
    <t>Linnaeusstraat 106</t>
  </si>
  <si>
    <t>0687048576</t>
  </si>
  <si>
    <t>NL03INGB0007073885</t>
  </si>
  <si>
    <t>NL003653320B89</t>
  </si>
  <si>
    <t>angel76top@abv.bg</t>
  </si>
  <si>
    <t>Topchiev</t>
  </si>
  <si>
    <t>Toronto 98</t>
  </si>
  <si>
    <t>Kempstraat 112</t>
  </si>
  <si>
    <t>2572GK</t>
  </si>
  <si>
    <t>0687218838</t>
  </si>
  <si>
    <t>NL87INGB0007923839</t>
  </si>
  <si>
    <t>NL682811737B01</t>
  </si>
  <si>
    <t>shabanahmedov552@gmail.com</t>
  </si>
  <si>
    <t>Trocha</t>
  </si>
  <si>
    <t>0684741162</t>
  </si>
  <si>
    <t>NL85INGB0391409786</t>
  </si>
  <si>
    <t>NL003553386B14</t>
  </si>
  <si>
    <t>andonovkrum8@gmail.com</t>
  </si>
  <si>
    <t>Andonov</t>
  </si>
  <si>
    <t>Tunay2018</t>
  </si>
  <si>
    <t>T.F.</t>
  </si>
  <si>
    <t>NL401429374B02</t>
  </si>
  <si>
    <t>Escamplaan 154</t>
  </si>
  <si>
    <t>2547GL</t>
  </si>
  <si>
    <t>0687961247</t>
  </si>
  <si>
    <t>NL49INGB0008423394</t>
  </si>
  <si>
    <t>NL004775473B61</t>
  </si>
  <si>
    <t>tunayfikretov@gmail.com</t>
  </si>
  <si>
    <t>UBO Bouw</t>
  </si>
  <si>
    <t>+31682606877</t>
  </si>
  <si>
    <t>NL92INGB0104817437</t>
  </si>
  <si>
    <t>NL004972792B66</t>
  </si>
  <si>
    <t>volodumur2205@gmail.com</t>
  </si>
  <si>
    <t>Ubohyi</t>
  </si>
  <si>
    <t>UFC Transport VOF</t>
  </si>
  <si>
    <t>Edisonstraat 32 B</t>
  </si>
  <si>
    <t>3112 LW</t>
  </si>
  <si>
    <t>0682397974</t>
  </si>
  <si>
    <t>NL02INGB0007303017</t>
  </si>
  <si>
    <t>NL867925553B01</t>
  </si>
  <si>
    <t>iziismailov4@gmail.com</t>
  </si>
  <si>
    <t>Ismailov</t>
  </si>
  <si>
    <t>V.D.V. Walhalla</t>
  </si>
  <si>
    <t>2572NH</t>
  </si>
  <si>
    <t>0633205705</t>
  </si>
  <si>
    <t>NL77INGB0107521970</t>
  </si>
  <si>
    <t>NL005099885B53</t>
  </si>
  <si>
    <t>vasko0443015060@gmail.com</t>
  </si>
  <si>
    <t>V.Sandev 81 VOF</t>
  </si>
  <si>
    <t>Kortenhoefsestraat 11</t>
  </si>
  <si>
    <t>2574TN</t>
  </si>
  <si>
    <t>0682525507</t>
  </si>
  <si>
    <t>NL02INGB0008649086</t>
  </si>
  <si>
    <t>NL863633523B01</t>
  </si>
  <si>
    <t>sandev.venci@gmail.com</t>
  </si>
  <si>
    <t>Sandev</t>
  </si>
  <si>
    <t>Valentin 1201 Bouw</t>
  </si>
  <si>
    <t>Capadosestraat 242</t>
  </si>
  <si>
    <t>2523AK</t>
  </si>
  <si>
    <t>0687408442</t>
  </si>
  <si>
    <t>NL41ABNA0108882322</t>
  </si>
  <si>
    <t>NL003667407B85</t>
  </si>
  <si>
    <t>sulakovvalentin4@gmail.com</t>
  </si>
  <si>
    <t>Sulakov</t>
  </si>
  <si>
    <t>Valkov Bouw VOF</t>
  </si>
  <si>
    <t>Gerard Kellerstraat 64 A</t>
  </si>
  <si>
    <t>2522ZX</t>
  </si>
  <si>
    <t>0685411101</t>
  </si>
  <si>
    <t>NL60INGB0008823709</t>
  </si>
  <si>
    <t>NL865142348B01</t>
  </si>
  <si>
    <t>kv1447411@gmail.com</t>
  </si>
  <si>
    <t>VAMTECH Beheer B.V.</t>
  </si>
  <si>
    <t>NL65INGB0006766055</t>
  </si>
  <si>
    <t>NL861302680B01</t>
  </si>
  <si>
    <t>vamtechbeheerbv@zzp-nl.nl</t>
  </si>
  <si>
    <t>Varko Bouw</t>
  </si>
  <si>
    <t>Bazuinlaan 145</t>
  </si>
  <si>
    <t>2287ED</t>
  </si>
  <si>
    <t>0685501741</t>
  </si>
  <si>
    <t>NL94INGB0008833961</t>
  </si>
  <si>
    <t>NL003151035B66</t>
  </si>
  <si>
    <t>kpaisamov@gmail.com</t>
  </si>
  <si>
    <t>Paysamov</t>
  </si>
  <si>
    <t>Vasil Nikolov VOF</t>
  </si>
  <si>
    <t>Pasteurstraat 143</t>
  </si>
  <si>
    <t>2522RH</t>
  </si>
  <si>
    <t>0611421434</t>
  </si>
  <si>
    <t>NL05INGB0008105541</t>
  </si>
  <si>
    <t>NL863717287B01</t>
  </si>
  <si>
    <t>nikolovvasik@gmail.com</t>
  </si>
  <si>
    <t>Vasse71</t>
  </si>
  <si>
    <t>Jan van der Heijdenstraat 3A</t>
  </si>
  <si>
    <t>2522EJ</t>
  </si>
  <si>
    <t>0685220618</t>
  </si>
  <si>
    <t>NL60INGB0007673774</t>
  </si>
  <si>
    <t>NL002476680B68</t>
  </si>
  <si>
    <t>valentinfugachev@gmail.com</t>
  </si>
  <si>
    <t>Velkoski Bouw</t>
  </si>
  <si>
    <t>T</t>
  </si>
  <si>
    <t>Rijswijkseweg 59-C</t>
  </si>
  <si>
    <t>2516EE</t>
  </si>
  <si>
    <t>0617843821</t>
  </si>
  <si>
    <t>NL08INGB0009382492</t>
  </si>
  <si>
    <t>NL003073791B63</t>
  </si>
  <si>
    <t>toni.torino@icloud.com</t>
  </si>
  <si>
    <t>Vendes Bouw</t>
  </si>
  <si>
    <t>0684055037</t>
  </si>
  <si>
    <t>NL18INGB0100836143</t>
  </si>
  <si>
    <t>NL004752102B07</t>
  </si>
  <si>
    <t>venci.mechtanov@gmail.com</t>
  </si>
  <si>
    <t>Mechtanov</t>
  </si>
  <si>
    <t>Vesa Bouw</t>
  </si>
  <si>
    <t>Albert Schweitzerlaan 163</t>
  </si>
  <si>
    <t>2552PG</t>
  </si>
  <si>
    <t>0685518429</t>
  </si>
  <si>
    <t>NL04INGB0108078221</t>
  </si>
  <si>
    <t>NL005126657B53</t>
  </si>
  <si>
    <t>vencislavsharkov5@abv.bg</t>
  </si>
  <si>
    <t>Sharkov</t>
  </si>
  <si>
    <t>Vesko 77</t>
  </si>
  <si>
    <t>2522 AL</t>
  </si>
  <si>
    <t>0649953111</t>
  </si>
  <si>
    <t>NL57INGB0395701376</t>
  </si>
  <si>
    <t>NL004284236B31</t>
  </si>
  <si>
    <t>veselin_hadj@mail.bg</t>
  </si>
  <si>
    <t>Veso Onderhoud VOF</t>
  </si>
  <si>
    <t>Vreeswijkstraat 531</t>
  </si>
  <si>
    <t>2546AN</t>
  </si>
  <si>
    <t>0628757367</t>
  </si>
  <si>
    <t>NL81INGB0003583100</t>
  </si>
  <si>
    <t>NL859638686B01</t>
  </si>
  <si>
    <t>magityy_88@abv.bg</t>
  </si>
  <si>
    <t>Vesto Onderhoud VOF</t>
  </si>
  <si>
    <t>Nettelhorststraat 74</t>
  </si>
  <si>
    <t>2532BS</t>
  </si>
  <si>
    <t>0613676674</t>
  </si>
  <si>
    <t>NL83INGB0008182222</t>
  </si>
  <si>
    <t>NL858517425B01</t>
  </si>
  <si>
    <t>stoian.bashev@abv.bg</t>
  </si>
  <si>
    <t>Bashev</t>
  </si>
  <si>
    <t>VI One Consultancy</t>
  </si>
  <si>
    <t>0634195315</t>
  </si>
  <si>
    <t>NL62INGB0008986827</t>
  </si>
  <si>
    <t>NL003105354B12</t>
  </si>
  <si>
    <t>vionecnl@gmail.com</t>
  </si>
  <si>
    <t>Angelova-Vasileva</t>
  </si>
  <si>
    <t>Vicho Bouw VOF</t>
  </si>
  <si>
    <t>Margarethaland 96</t>
  </si>
  <si>
    <t>2591TR</t>
  </si>
  <si>
    <t>0651091833</t>
  </si>
  <si>
    <t>NL74INGB0007856949</t>
  </si>
  <si>
    <t>NL867471414B01</t>
  </si>
  <si>
    <t>vichobouw@yahoo.com</t>
  </si>
  <si>
    <t>Tsvyatkov</t>
  </si>
  <si>
    <t>Victoria Market</t>
  </si>
  <si>
    <t>Paul Krugerlaan 134</t>
  </si>
  <si>
    <t>2571HM</t>
  </si>
  <si>
    <t>0614952884</t>
  </si>
  <si>
    <t>NL02RABO0362380961</t>
  </si>
  <si>
    <t>NL003337596B87</t>
  </si>
  <si>
    <t>Ilhan9819@icloud.com</t>
  </si>
  <si>
    <t>Vikani</t>
  </si>
  <si>
    <t>Newtonstraat 228D</t>
  </si>
  <si>
    <t>2562KW</t>
  </si>
  <si>
    <t>+31684306733</t>
  </si>
  <si>
    <t>NL20INGB0009515651</t>
  </si>
  <si>
    <t>NL003223876B23</t>
  </si>
  <si>
    <t>stefanfilipov3@gmail.com</t>
  </si>
  <si>
    <t>VIKTORIA Holding B.V.</t>
  </si>
  <si>
    <t>+31648267306</t>
  </si>
  <si>
    <t>NL868338333B01</t>
  </si>
  <si>
    <t>viktoriaholding@zzp-nl.nl</t>
  </si>
  <si>
    <t>Cvetkovic</t>
  </si>
  <si>
    <t>Viktoria schoonmaak 2</t>
  </si>
  <si>
    <t>Johanna Reintjesstraat 44</t>
  </si>
  <si>
    <t>Breda</t>
  </si>
  <si>
    <t>4822VH</t>
  </si>
  <si>
    <t>+310648267306</t>
  </si>
  <si>
    <t>NL68RABO0379566427</t>
  </si>
  <si>
    <t>NL241155472B02</t>
  </si>
  <si>
    <t>2dijana-@live.nl</t>
  </si>
  <si>
    <t>VIKTORIA Schoonmaakbedrijf B.V.</t>
  </si>
  <si>
    <t>0648267306</t>
  </si>
  <si>
    <t>NL868339830B01</t>
  </si>
  <si>
    <t>dijana-@live.nl</t>
  </si>
  <si>
    <t>Viran Bouw</t>
  </si>
  <si>
    <t>N.M.</t>
  </si>
  <si>
    <t>Jan van Beersstraat 46</t>
  </si>
  <si>
    <t>2523JX</t>
  </si>
  <si>
    <t>0685176238</t>
  </si>
  <si>
    <t>NL87INGB0006765659</t>
  </si>
  <si>
    <t>NL005117861B65</t>
  </si>
  <si>
    <t>dechoviranev@gmail.com</t>
  </si>
  <si>
    <t>Viranev</t>
  </si>
  <si>
    <t>VLB Bouw</t>
  </si>
  <si>
    <t>V.L.</t>
  </si>
  <si>
    <t>De Nieuwe Erven 3 Unit 12234</t>
  </si>
  <si>
    <t>Cuijk</t>
  </si>
  <si>
    <t>5431NV</t>
  </si>
  <si>
    <t>+380689725320</t>
  </si>
  <si>
    <t>NL02INGB0107190028</t>
  </si>
  <si>
    <t>NL005090774B87</t>
  </si>
  <si>
    <t>vovking188@gmail.com</t>
  </si>
  <si>
    <t>Bolshunov</t>
  </si>
  <si>
    <t>VMF Services VOF</t>
  </si>
  <si>
    <t>Pluvierstraat 181</t>
  </si>
  <si>
    <t>2583GM</t>
  </si>
  <si>
    <t>0651934850</t>
  </si>
  <si>
    <t>NL25INGB0008349233</t>
  </si>
  <si>
    <t>NL861482670B01</t>
  </si>
  <si>
    <t>agulev@mail.ru</t>
  </si>
  <si>
    <t>VNV Beheer B.V.</t>
  </si>
  <si>
    <t>N.V.</t>
  </si>
  <si>
    <t>Kerktorenstraat 13</t>
  </si>
  <si>
    <t>Veldhoven</t>
  </si>
  <si>
    <t>5503 PA</t>
  </si>
  <si>
    <t>+359899848323</t>
  </si>
  <si>
    <t>NL20INGB0009033464</t>
  </si>
  <si>
    <t>NL859204418B01</t>
  </si>
  <si>
    <t>vnvtrans@zzp-nl.nl</t>
  </si>
  <si>
    <t>Nikiforov</t>
  </si>
  <si>
    <t>VNV Globe Trans BV</t>
  </si>
  <si>
    <t>5503PA</t>
  </si>
  <si>
    <t>0614568869</t>
  </si>
  <si>
    <t>NL32INGB0007772442</t>
  </si>
  <si>
    <t>NL857257079B01</t>
  </si>
  <si>
    <t>vnvglobe@gmail.com</t>
  </si>
  <si>
    <t>VTB Bouw VOF</t>
  </si>
  <si>
    <t>Vlasakkersstraat 76</t>
  </si>
  <si>
    <t>2574SK</t>
  </si>
  <si>
    <t>0682525537</t>
  </si>
  <si>
    <t>NL25INGB0008649060</t>
  </si>
  <si>
    <t>NL862455649B01</t>
  </si>
  <si>
    <t>sandev_87@abv.bg</t>
  </si>
  <si>
    <t>VTM-25 B.V.</t>
  </si>
  <si>
    <t>Zuiderparklaan 60</t>
  </si>
  <si>
    <t>S-GRAVENHAGE</t>
  </si>
  <si>
    <t>2574HM</t>
  </si>
  <si>
    <t>0624466263</t>
  </si>
  <si>
    <t>NL38RABO0180494546</t>
  </si>
  <si>
    <t>NL868332859B01</t>
  </si>
  <si>
    <t>vtm-25@zzp-nl.nl</t>
  </si>
  <si>
    <t>VU Bouw 84</t>
  </si>
  <si>
    <t>0686293774</t>
  </si>
  <si>
    <t>NL24INGB0103860592</t>
  </si>
  <si>
    <t>NL004812808B54</t>
  </si>
  <si>
    <t>vencidesi2023@gmail.com</t>
  </si>
  <si>
    <t>VVS OOD</t>
  </si>
  <si>
    <t>0628183767</t>
  </si>
  <si>
    <t>NL31INGB0112152317</t>
  </si>
  <si>
    <t>NL005218877B05</t>
  </si>
  <si>
    <t>sakadjievv@gmail.com</t>
  </si>
  <si>
    <t>Sakadzhiev</t>
  </si>
  <si>
    <t>VYA Bouwisoleren</t>
  </si>
  <si>
    <t>Wapenveldestraat 88</t>
  </si>
  <si>
    <t>2573BL</t>
  </si>
  <si>
    <t>0687561089</t>
  </si>
  <si>
    <t>NL24INGB0008496109</t>
  </si>
  <si>
    <t>NL005188936B08</t>
  </si>
  <si>
    <t>Info@vyabouwisoleren.nl</t>
  </si>
  <si>
    <t>Y M Tirozov VOF</t>
  </si>
  <si>
    <t>Wolweversgaarde 70</t>
  </si>
  <si>
    <t>2542AV</t>
  </si>
  <si>
    <t>0684481993</t>
  </si>
  <si>
    <t>NL30INGB0004726290</t>
  </si>
  <si>
    <t>NL858392021B01</t>
  </si>
  <si>
    <t>yusi79@abv.bg</t>
  </si>
  <si>
    <t>Tirozov</t>
  </si>
  <si>
    <t>Yani Yoni VOF</t>
  </si>
  <si>
    <t>0655135390</t>
  </si>
  <si>
    <t>NL97INGB0006054857</t>
  </si>
  <si>
    <t>NL854738265B01</t>
  </si>
  <si>
    <t>facturen@yaniyoni.nl</t>
  </si>
  <si>
    <t>Yanko Daniel</t>
  </si>
  <si>
    <t>Schalk Burgerstraat 294</t>
  </si>
  <si>
    <t>0685356465</t>
  </si>
  <si>
    <t>NL57INGB0006162277</t>
  </si>
  <si>
    <t>NL003184114B48</t>
  </si>
  <si>
    <t>yankodaniel2007@gmail.com</t>
  </si>
  <si>
    <t>Yanko Semov - GEEN DIENSTEN TOT HIJ HEEFT BETAALD</t>
  </si>
  <si>
    <t>Harderwijkstraat 43</t>
  </si>
  <si>
    <t>0687325355</t>
  </si>
  <si>
    <t>NL57SNSB8845547957</t>
  </si>
  <si>
    <t>NL004935744B12</t>
  </si>
  <si>
    <t>semovyanko62@gmail.com</t>
  </si>
  <si>
    <t>Yankov Bouw</t>
  </si>
  <si>
    <t>Coevordenstraat 120</t>
  </si>
  <si>
    <t>2541SN</t>
  </si>
  <si>
    <t>0684883707</t>
  </si>
  <si>
    <t>NL35INGB0009205272</t>
  </si>
  <si>
    <t>NL002484173B46</t>
  </si>
  <si>
    <t>icoiankow@gmail.com</t>
  </si>
  <si>
    <t>Yazdan</t>
  </si>
  <si>
    <t>G.Z.R.</t>
  </si>
  <si>
    <t>Digna Johannaweg 217</t>
  </si>
  <si>
    <t>3193PE</t>
  </si>
  <si>
    <t>0640121026</t>
  </si>
  <si>
    <t>NL85ABNA0123446856</t>
  </si>
  <si>
    <t>NL004823113B41</t>
  </si>
  <si>
    <t>sty1e@hotmail.com</t>
  </si>
  <si>
    <t>Rasouli</t>
  </si>
  <si>
    <t>YIY Services</t>
  </si>
  <si>
    <t>Y.I.</t>
  </si>
  <si>
    <t>Troelstrakade 73</t>
  </si>
  <si>
    <t>0687311941</t>
  </si>
  <si>
    <t>NL38RABO0383284880</t>
  </si>
  <si>
    <t>NL005013206B90</t>
  </si>
  <si>
    <t>ylianiliev40@gmail.com</t>
  </si>
  <si>
    <t>Yulianov</t>
  </si>
  <si>
    <t>YLEM</t>
  </si>
  <si>
    <t>0686434249</t>
  </si>
  <si>
    <t>NL79INGB0396090435</t>
  </si>
  <si>
    <t>NL004311638B84</t>
  </si>
  <si>
    <t>yuriynyshta@gmail.com</t>
  </si>
  <si>
    <t>YMD Onderhoud</t>
  </si>
  <si>
    <t>Waarderstraat 51</t>
  </si>
  <si>
    <t>2729MA</t>
  </si>
  <si>
    <t>0682779736</t>
  </si>
  <si>
    <t>NL44INGB0007621294</t>
  </si>
  <si>
    <t>NL002502760B88</t>
  </si>
  <si>
    <t>dobrevm86@gmail.com</t>
  </si>
  <si>
    <t>Dobrev</t>
  </si>
  <si>
    <t>YMF Bouw</t>
  </si>
  <si>
    <t>0626507840</t>
  </si>
  <si>
    <t>NL49INGB0007820345</t>
  </si>
  <si>
    <t>NL002486226B96</t>
  </si>
  <si>
    <t>yuri.filipov95@gmail.com</t>
  </si>
  <si>
    <t>YOLE Services</t>
  </si>
  <si>
    <t>Burg Caan van Necklaan 63</t>
  </si>
  <si>
    <t>Leidschendam</t>
  </si>
  <si>
    <t>2262GC</t>
  </si>
  <si>
    <t>0626289135</t>
  </si>
  <si>
    <t>NL58INGB0009495955</t>
  </si>
  <si>
    <t>NL860344393B01</t>
  </si>
  <si>
    <t>mirjanamadzovska@yahoo.com</t>
  </si>
  <si>
    <t>Madzhovski</t>
  </si>
  <si>
    <t>YorgovBuild</t>
  </si>
  <si>
    <t>M.T.Y.</t>
  </si>
  <si>
    <t>Bastion 429</t>
  </si>
  <si>
    <t>8223 GS</t>
  </si>
  <si>
    <t>0644458035</t>
  </si>
  <si>
    <t>NL005197497B74</t>
  </si>
  <si>
    <t>marioyorgoov@gmail.com</t>
  </si>
  <si>
    <t>Yorgov</t>
  </si>
  <si>
    <t>Ypivon VOF</t>
  </si>
  <si>
    <t>Y.P.</t>
  </si>
  <si>
    <t>Van Ruysbroekstraat 141</t>
  </si>
  <si>
    <t>2531TJ</t>
  </si>
  <si>
    <t>0684157676</t>
  </si>
  <si>
    <t>NL89INGB0006757475</t>
  </si>
  <si>
    <t>NL858425579B01</t>
  </si>
  <si>
    <t>ivona7902@gmail.com</t>
  </si>
  <si>
    <t>Yufa Bouw</t>
  </si>
  <si>
    <t>Noorderbeekdwarsstraat 81</t>
  </si>
  <si>
    <t>2562XN</t>
  </si>
  <si>
    <t>0616635161</t>
  </si>
  <si>
    <t>NL56INGB0000173030</t>
  </si>
  <si>
    <t>NL003928678B23</t>
  </si>
  <si>
    <t>yosko9234@gmail.com</t>
  </si>
  <si>
    <t>Yuli Bouw</t>
  </si>
  <si>
    <t>Rijswijkseweg 532E</t>
  </si>
  <si>
    <t>0638642610</t>
  </si>
  <si>
    <t>NL40INGB0006919474</t>
  </si>
  <si>
    <t>NL002497855B98</t>
  </si>
  <si>
    <t>uliandinkov83@gmail.com</t>
  </si>
  <si>
    <t>Kusheliev</t>
  </si>
  <si>
    <t>Yuliyan</t>
  </si>
  <si>
    <t>I.Y.</t>
  </si>
  <si>
    <t>2531 AB</t>
  </si>
  <si>
    <t>0685462864</t>
  </si>
  <si>
    <t>NL05INGB0006103558</t>
  </si>
  <si>
    <t>NL002504747B53</t>
  </si>
  <si>
    <t>iliev0134@gmail.com</t>
  </si>
  <si>
    <t>Yunuzov85</t>
  </si>
  <si>
    <t>NL265693159B03</t>
  </si>
  <si>
    <t>Velpsestraat 37</t>
  </si>
  <si>
    <t>2573SC</t>
  </si>
  <si>
    <t>0617408436</t>
  </si>
  <si>
    <t>NL26INGB0104748591</t>
  </si>
  <si>
    <t>NL004954693B94</t>
  </si>
  <si>
    <t>yuzelyunuzov85@gmail.com</t>
  </si>
  <si>
    <t>Yunuzov</t>
  </si>
  <si>
    <t>Z.S. ZDRAVEV V.O.F.</t>
  </si>
  <si>
    <t>Z.S.</t>
  </si>
  <si>
    <t>Beumershoek 34</t>
  </si>
  <si>
    <t>3085EA</t>
  </si>
  <si>
    <t>0683959621</t>
  </si>
  <si>
    <t>NL96INGB0006037609</t>
  </si>
  <si>
    <t>NL865108845B01</t>
  </si>
  <si>
    <t>zaharin_zdravev@hotmail.com</t>
  </si>
  <si>
    <t>Zdravev</t>
  </si>
  <si>
    <t>Zagorodnii Klussenbedrijf</t>
  </si>
  <si>
    <t>Kempstraat 230</t>
  </si>
  <si>
    <t>2572GM</t>
  </si>
  <si>
    <t>0687742525</t>
  </si>
  <si>
    <t>NL23INGB0101091745</t>
  </si>
  <si>
    <t>NL004746465B09</t>
  </si>
  <si>
    <t>igorzagorodnij732@gmail.com</t>
  </si>
  <si>
    <t>Zagorodnii</t>
  </si>
  <si>
    <t>Zahariev</t>
  </si>
  <si>
    <t>Boele van Hensbroekstraat 31</t>
  </si>
  <si>
    <t>2522HJ</t>
  </si>
  <si>
    <t>0686364206</t>
  </si>
  <si>
    <t>NL60INGB0008401468</t>
  </si>
  <si>
    <t>NL005284358B48</t>
  </si>
  <si>
    <t>georgizahariev62@gmail.com</t>
  </si>
  <si>
    <t>Zaro Las en Constructiebedrijf VOF</t>
  </si>
  <si>
    <t>Rondebosstraat 6</t>
  </si>
  <si>
    <t>2572NB</t>
  </si>
  <si>
    <t>0683857207</t>
  </si>
  <si>
    <t>NL16INGB0004610142</t>
  </si>
  <si>
    <t>NL858449730B01</t>
  </si>
  <si>
    <t>milko100859pergelov@gmail.com</t>
  </si>
  <si>
    <t>Pergelov</t>
  </si>
  <si>
    <t>Zdravko IJzervlechter</t>
  </si>
  <si>
    <t>Schalk Burgerstraat 256</t>
  </si>
  <si>
    <t>2572TE</t>
  </si>
  <si>
    <t>0684637861</t>
  </si>
  <si>
    <t>NL67INGB0007521746</t>
  </si>
  <si>
    <t>NL002504904B95</t>
  </si>
  <si>
    <t>zdrvkoangelov@gmail.com</t>
  </si>
  <si>
    <t>Romanov</t>
  </si>
  <si>
    <t>Zekirov</t>
  </si>
  <si>
    <t>Pasteurstraat 105</t>
  </si>
  <si>
    <t>2522RG</t>
  </si>
  <si>
    <t>0686225790</t>
  </si>
  <si>
    <t>NL70INGB0008840698</t>
  </si>
  <si>
    <t>NL002500331B27</t>
  </si>
  <si>
    <t>zlatevleven4@gmail.com</t>
  </si>
  <si>
    <t>ZGochev</t>
  </si>
  <si>
    <t>Springfonteinstraat 44</t>
  </si>
  <si>
    <t>2572 PM</t>
  </si>
  <si>
    <t>0686333661</t>
  </si>
  <si>
    <t>NL21INGB0008393052</t>
  </si>
  <si>
    <t>NL002462243B21</t>
  </si>
  <si>
    <t>gochev1velko@gmail.com</t>
  </si>
  <si>
    <t>Gochev</t>
  </si>
  <si>
    <t>Zhelevi Cleaning VOF</t>
  </si>
  <si>
    <t>Damasstraat 66</t>
  </si>
  <si>
    <t>2522TW</t>
  </si>
  <si>
    <t>0687212250</t>
  </si>
  <si>
    <t>NL50INGB0675862140</t>
  </si>
  <si>
    <t>NL867431684B01</t>
  </si>
  <si>
    <t>tzivko9@gmail.com</t>
  </si>
  <si>
    <t>ZhiMar</t>
  </si>
  <si>
    <t>00359899170130</t>
  </si>
  <si>
    <t>NL78INGB0398364230</t>
  </si>
  <si>
    <t>NL004530443B36</t>
  </si>
  <si>
    <t>zhivkoo.yanevv@gmail.com</t>
  </si>
  <si>
    <t>Zhivkov Vlechter VOF</t>
  </si>
  <si>
    <t>Brandtstraat 98</t>
  </si>
  <si>
    <t>2572CH</t>
  </si>
  <si>
    <t>0684364371</t>
  </si>
  <si>
    <t>NL95INGB0008235841</t>
  </si>
  <si>
    <t>NL864913990B01</t>
  </si>
  <si>
    <t>mitkojivkov55@gmail.com</t>
  </si>
  <si>
    <t>Zhivkov</t>
  </si>
  <si>
    <t>ZIK Onderhoud</t>
  </si>
  <si>
    <t>Z.I.</t>
  </si>
  <si>
    <t>Thorbeckelaan 723</t>
  </si>
  <si>
    <t>2564CJ</t>
  </si>
  <si>
    <t>0685730890</t>
  </si>
  <si>
    <t>NL64INGB0675513367</t>
  </si>
  <si>
    <t>NL004118575B90</t>
  </si>
  <si>
    <t>zaprin81@gmail.com</t>
  </si>
  <si>
    <t>Karaivanov</t>
  </si>
  <si>
    <t>Zmas Beheer B.V.</t>
  </si>
  <si>
    <t>+31681627410</t>
  </si>
  <si>
    <t>NL863626609B01</t>
  </si>
  <si>
    <t>zmasbeheer@zzp-nl.nl</t>
  </si>
  <si>
    <t>Zonwerken B.V.</t>
  </si>
  <si>
    <t>NL24INGB0007314358</t>
  </si>
  <si>
    <t>NL861062760B01</t>
  </si>
  <si>
    <t>zonwerken@zzp-nl.nl</t>
  </si>
  <si>
    <t>ZVB Grondwerken VOF</t>
  </si>
  <si>
    <t>V.T.</t>
  </si>
  <si>
    <t>0643279464</t>
  </si>
  <si>
    <t>NL03INGB0007528330</t>
  </si>
  <si>
    <t>NL856810289B01</t>
  </si>
  <si>
    <t>zvbgrondwerken@gmail.com</t>
  </si>
  <si>
    <t>Chillingirov</t>
  </si>
  <si>
    <t>ZVN Bouw</t>
  </si>
  <si>
    <t>Z.L.</t>
  </si>
  <si>
    <t>0642103897</t>
  </si>
  <si>
    <t>NL91INGB0009210860</t>
  </si>
  <si>
    <t>NL003466674B57</t>
  </si>
  <si>
    <t>zdravko.85v@gmail.com</t>
  </si>
  <si>
    <t>АВРО Консулт ООД</t>
  </si>
  <si>
    <t>ул."Академик Николай Хайтов" № 3В ет. 4 ап.1</t>
  </si>
  <si>
    <t>Asenovgrad</t>
  </si>
  <si>
    <t>+31611584401</t>
  </si>
  <si>
    <t>BG208463792</t>
  </si>
  <si>
    <t>avroconsult69@gmail.com</t>
  </si>
  <si>
    <t>Аксентис ООД</t>
  </si>
  <si>
    <t>ул."Дубровник" No 54, бл.1, ет.4, ап.20.1.</t>
  </si>
  <si>
    <t>Varna</t>
  </si>
  <si>
    <t>+359876555728</t>
  </si>
  <si>
    <t>BG206999604</t>
  </si>
  <si>
    <t>5354942365716665</t>
  </si>
  <si>
    <t>axentisood@gmail.com</t>
  </si>
  <si>
    <t>My Company</t>
  </si>
  <si>
    <t>a.a.</t>
  </si>
  <si>
    <t>csd</t>
  </si>
  <si>
    <t>vds</t>
  </si>
  <si>
    <t>5454523</t>
  </si>
  <si>
    <t>BG15FINV91501017776625</t>
  </si>
  <si>
    <t>BG207898668</t>
  </si>
  <si>
    <t>Стебо 67 ООД</t>
  </si>
  <si>
    <t>Николай Хайтов 3В ет 4 ап 1</t>
  </si>
  <si>
    <t>Асеновград</t>
  </si>
  <si>
    <t>+359876555328</t>
  </si>
  <si>
    <t>BG15FINV91501017776624</t>
  </si>
  <si>
    <t>BG207898667</t>
  </si>
  <si>
    <t>steboood@gmail.com</t>
  </si>
  <si>
    <t>Tyankov</t>
  </si>
  <si>
    <t>YANIS LTD</t>
  </si>
  <si>
    <t>str.Blagoy Gebrev 58/43</t>
  </si>
  <si>
    <t>PERNIK</t>
  </si>
  <si>
    <t>BG113591942</t>
  </si>
  <si>
    <t>H.R</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</si>
</sst>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d-m-yyyy"/>
    <numFmt numFmtId="166" formatCode="m-d-yyyy"/>
    <numFmt numFmtId="167" formatCode="d-m"/>
    <numFmt numFmtId="168" formatCode="dd/mm/yyyy"/>
    <numFmt numFmtId="169" formatCode="d&quot;-&quot;m&quot;-&quot;yyyy"/>
    <numFmt numFmtId="170" formatCode="&quot;€&quot;#,##0.00"/>
    <numFmt numFmtId="171" formatCode="_([$€-2]* #,##0.00_);_([$€-2]* \(#,##0.00\);_([$€-2]* &quot;-&quot;??_);_(@_)"/>
    <numFmt numFmtId="172" formatCode="d-mmm"/>
    <numFmt numFmtId="173" formatCode="d mmmm yyyy"/>
    <numFmt numFmtId="174" formatCode="yyyy-mm-dd"/>
    <numFmt numFmtId="175" formatCode="d-m-yy"/>
  </numFmts>
  <fonts count="72">
    <font>
      <sz val="10.0"/>
      <color rgb="FF000000"/>
      <name val="Arial"/>
      <scheme val="minor"/>
    </font>
    <font>
      <color theme="1"/>
      <name val="Arial"/>
      <scheme val="minor"/>
    </font>
    <font>
      <sz val="8.0"/>
      <color theme="1"/>
      <name val="Arial"/>
      <scheme val="minor"/>
    </font>
    <font>
      <b/>
      <sz val="14.0"/>
      <color rgb="FFFFFFFF"/>
      <name val="Lexend"/>
    </font>
    <font/>
    <font>
      <sz val="9.0"/>
      <color rgb="FF000000"/>
      <name val="&quot;Aptos Narrow&quot;"/>
    </font>
    <font>
      <sz val="11.0"/>
      <color rgb="FF000000"/>
      <name val="Arial"/>
    </font>
    <font>
      <i/>
      <sz val="8.0"/>
      <color rgb="FFCCCCCC"/>
      <name val="&quot;Aptos Narrow&quot;"/>
    </font>
    <font>
      <sz val="11.0"/>
      <color rgb="FFCCCCCC"/>
      <name val="&quot;Aptos Narrow&quot;"/>
    </font>
    <font>
      <color rgb="FFCCCCCC"/>
      <name val="Arial"/>
      <scheme val="minor"/>
    </font>
    <font>
      <color rgb="FFFFFFFF"/>
      <name val="Arial"/>
      <scheme val="minor"/>
    </font>
    <font>
      <sz val="11.0"/>
      <color rgb="FF000000"/>
      <name val="&quot;Aptos Narrow&quot;"/>
    </font>
    <font>
      <i/>
      <sz val="8.0"/>
      <color rgb="FFCCCCCC"/>
      <name val="Inherit"/>
    </font>
    <font>
      <sz val="12.0"/>
      <color rgb="FF222222"/>
      <name val="Arial"/>
    </font>
    <font>
      <sz val="8.0"/>
      <color rgb="FF000000"/>
      <name val="Arial"/>
    </font>
    <font>
      <sz val="8.0"/>
      <color rgb="FF000000"/>
      <name val="&quot;Aptos Narrow&quot;"/>
    </font>
    <font>
      <i/>
      <sz val="8.0"/>
      <color rgb="FFFFFFFF"/>
      <name val="&quot;Aptos Narrow&quot;"/>
    </font>
    <font>
      <sz val="11.0"/>
      <color theme="1"/>
      <name val="&quot;Aptos Narrow&quot;"/>
    </font>
    <font>
      <sz val="11.0"/>
      <color rgb="FFFFFFFF"/>
      <name val="&quot;Aptos Narrow&quot;"/>
    </font>
    <font>
      <u/>
      <sz val="11.0"/>
      <color rgb="FF467886"/>
      <name val="Arial"/>
    </font>
    <font>
      <sz val="11.0"/>
      <color theme="1"/>
      <name val="Arial"/>
    </font>
    <font>
      <sz val="9.0"/>
      <color rgb="FF000000"/>
      <name val="Arial"/>
    </font>
    <font>
      <u/>
      <sz val="11.0"/>
      <color rgb="FF000000"/>
      <name val="&quot;Aptos Narrow&quot;"/>
    </font>
    <font>
      <sz val="11.0"/>
      <color rgb="FFA6A6A6"/>
      <name val="&quot;Aptos Narrow&quot;"/>
    </font>
    <font>
      <i/>
      <sz val="11.0"/>
      <color rgb="FF000000"/>
      <name val="&quot;Aptos Narrow&quot;"/>
    </font>
    <font>
      <sz val="10.0"/>
      <color rgb="FFFFFFFF"/>
      <name val="Arial"/>
      <scheme val="minor"/>
    </font>
    <font>
      <b/>
      <sz val="11.0"/>
      <color rgb="FF000000"/>
      <name val="&quot;Aptos Narrow&quot;"/>
    </font>
    <font>
      <sz val="11.0"/>
      <color rgb="FFD9D9D9"/>
      <name val="&quot;Aptos Narrow&quot;"/>
    </font>
    <font>
      <b/>
      <i/>
      <sz val="9.0"/>
      <color rgb="FF000000"/>
      <name val="&quot;Aptos Narrow&quot;"/>
    </font>
    <font>
      <b/>
      <sz val="9.0"/>
      <color rgb="FF000000"/>
      <name val="&quot;Aptos Narrow&quot;"/>
    </font>
    <font>
      <b/>
      <sz val="11.0"/>
      <color rgb="FF000000"/>
      <name val="Arial"/>
    </font>
    <font>
      <sz val="9.0"/>
      <color theme="1"/>
      <name val="&quot;Aptos Narrow&quot;"/>
    </font>
    <font>
      <sz val="9.0"/>
      <color theme="1"/>
      <name val="Arial"/>
    </font>
    <font>
      <sz val="9.0"/>
      <color theme="1"/>
      <name val="Calibri"/>
    </font>
    <font>
      <b/>
      <i/>
      <sz val="9.0"/>
      <color theme="1"/>
      <name val="Calibri"/>
    </font>
    <font>
      <sz val="9.0"/>
      <color rgb="FF000000"/>
      <name val="Calibri"/>
    </font>
    <font>
      <b/>
      <sz val="9.0"/>
      <color rgb="FF000000"/>
      <name val="Calibri"/>
    </font>
    <font>
      <b/>
      <sz val="9.0"/>
      <color theme="1"/>
      <name val="Calibri"/>
    </font>
    <font>
      <sz val="11.0"/>
      <color rgb="FF000000"/>
      <name val="Calibri"/>
    </font>
    <font>
      <b/>
      <sz val="11.0"/>
      <color rgb="FF000000"/>
      <name val="Calibri"/>
    </font>
    <font>
      <u/>
      <sz val="9.0"/>
      <color rgb="FF0000FF"/>
      <name val="Calibri"/>
    </font>
    <font>
      <b/>
      <sz val="12.0"/>
      <color theme="1"/>
      <name val="Calibri"/>
    </font>
    <font>
      <b/>
      <sz val="12.0"/>
      <color rgb="FF000000"/>
      <name val="Calibri"/>
    </font>
    <font>
      <u/>
      <sz val="9.0"/>
      <color rgb="FF0000FF"/>
      <name val="Calibri"/>
    </font>
    <font>
      <u/>
      <sz val="11.0"/>
      <color rgb="FF467886"/>
      <name val="&quot;Aptos Narrow&quot;"/>
    </font>
    <font>
      <b/>
      <i/>
      <u/>
      <sz val="9.0"/>
      <color theme="1"/>
      <name val="Calibri"/>
    </font>
    <font>
      <b/>
      <i/>
      <u/>
      <sz val="9.0"/>
      <color rgb="FF000000"/>
      <name val="Calibri"/>
    </font>
    <font>
      <b/>
      <sz val="9.0"/>
      <color rgb="FF000000"/>
      <name val="Arial"/>
    </font>
    <font>
      <b/>
      <sz val="14.0"/>
      <color rgb="FF000000"/>
      <name val="Calibri"/>
    </font>
    <font>
      <i/>
      <sz val="9.0"/>
      <color rgb="FF000000"/>
      <name val="Calibri"/>
    </font>
    <font>
      <u/>
      <sz val="9.0"/>
      <color rgb="FF000000"/>
      <name val="Calibri"/>
    </font>
    <font>
      <sz val="10.0"/>
      <color theme="1"/>
      <name val="Calibri"/>
    </font>
    <font>
      <sz val="10.0"/>
      <color rgb="FF000000"/>
      <name val="Calibri"/>
    </font>
    <font>
      <b/>
      <sz val="10.0"/>
      <color rgb="FF000000"/>
      <name val="Calibri"/>
    </font>
    <font>
      <b/>
      <sz val="14.0"/>
      <color rgb="FF000000"/>
      <name val="Arial"/>
    </font>
    <font>
      <color rgb="FF000000"/>
      <name val="Calibri"/>
    </font>
    <font>
      <b/>
      <color rgb="FF000000"/>
      <name val="Calibri"/>
    </font>
    <font>
      <u/>
      <color rgb="FF000000"/>
      <name val="Calibri"/>
    </font>
    <font>
      <color theme="1"/>
      <name val="Calibri"/>
    </font>
    <font>
      <u/>
      <sz val="11.0"/>
      <color rgb="FF0000FF"/>
      <name val="Calibri"/>
    </font>
    <font>
      <i/>
      <color rgb="FF000000"/>
      <name val="Calibri"/>
    </font>
    <font>
      <b/>
      <color theme="1"/>
      <name val="Arial"/>
      <scheme val="minor"/>
    </font>
    <font>
      <u/>
      <sz val="8.0"/>
      <color theme="1"/>
      <name val="Arial"/>
      <scheme val="minor"/>
    </font>
    <font>
      <b/>
      <sz val="11.0"/>
      <color theme="1"/>
      <name val="Arial"/>
    </font>
    <font>
      <b/>
      <color theme="1"/>
      <name val="Arial"/>
    </font>
    <font>
      <color rgb="FF000000"/>
      <name val="&quot;Times New Roman&quot;"/>
    </font>
    <font>
      <b/>
      <color rgb="FF000000"/>
      <name val="Arial"/>
    </font>
    <font>
      <color theme="1"/>
      <name val="Arial"/>
    </font>
    <font>
      <color rgb="FF000000"/>
      <name val="Arial"/>
    </font>
    <font>
      <color rgb="FF333333"/>
      <name val="Arial"/>
    </font>
    <font>
      <b/>
      <sz val="11.0"/>
      <color rgb="FFFFFFFF"/>
      <name val="Calibri"/>
    </font>
    <font>
      <u/>
      <sz val="11.0"/>
      <color rgb="FF000000"/>
      <name val="Calibri"/>
    </font>
  </fonts>
  <fills count="9">
    <fill>
      <patternFill patternType="none"/>
    </fill>
    <fill>
      <patternFill patternType="lightGray"/>
    </fill>
    <fill>
      <patternFill patternType="solid">
        <fgColor rgb="FF1C4587"/>
        <bgColor rgb="FF1C4587"/>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ADADAD"/>
        <bgColor rgb="FFADADAD"/>
      </patternFill>
    </fill>
    <fill>
      <patternFill patternType="solid">
        <fgColor rgb="FFFFFFFF"/>
        <bgColor rgb="FFFFFFFF"/>
      </patternFill>
    </fill>
    <fill>
      <patternFill patternType="solid">
        <fgColor rgb="FF606060"/>
        <bgColor rgb="FF606060"/>
      </patternFill>
    </fill>
  </fills>
  <borders count="1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666666"/>
      </left>
      <right style="medium">
        <color rgb="FF666666"/>
      </right>
      <top style="medium">
        <color rgb="FF666666"/>
      </top>
      <bottom style="medium">
        <color rgb="FF666666"/>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dotted">
        <color rgb="FF000000"/>
      </top>
    </border>
    <border>
      <top style="thin">
        <color rgb="FFBFBFBF"/>
      </top>
    </border>
    <border>
      <left style="thin">
        <color rgb="FFF0F0F0"/>
      </left>
      <right style="thin">
        <color rgb="FFF0F0F0"/>
      </right>
      <top style="thin">
        <color rgb="FFF0F0F0"/>
      </top>
      <bottom style="thin">
        <color rgb="FFF0F0F0"/>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left" readingOrder="0" textRotation="0" vertical="center"/>
    </xf>
    <xf borderId="2" fillId="0" fontId="4" numFmtId="0" xfId="0" applyBorder="1" applyFont="1"/>
    <xf borderId="3" fillId="0" fontId="4" numFmtId="0" xfId="0" applyBorder="1" applyFont="1"/>
    <xf borderId="4" fillId="3" fontId="1" numFmtId="0" xfId="0" applyBorder="1" applyFill="1" applyFont="1"/>
    <xf borderId="0" fillId="3" fontId="1" numFmtId="0" xfId="0" applyFont="1"/>
    <xf borderId="0" fillId="3" fontId="2" numFmtId="0" xfId="0" applyFont="1"/>
    <xf borderId="5" fillId="3" fontId="1" numFmtId="0" xfId="0" applyBorder="1" applyFont="1"/>
    <xf borderId="4" fillId="3" fontId="5" numFmtId="49" xfId="0" applyAlignment="1" applyBorder="1" applyFont="1" applyNumberFormat="1">
      <alignment horizontal="right" readingOrder="0" shrinkToFit="0" vertical="bottom" wrapText="0"/>
    </xf>
    <xf borderId="6" fillId="4" fontId="6" numFmtId="0" xfId="0" applyAlignment="1" applyBorder="1" applyFill="1" applyFont="1">
      <alignment readingOrder="0" shrinkToFit="0" vertical="bottom" wrapText="0"/>
    </xf>
    <xf borderId="0" fillId="3" fontId="7" numFmtId="0" xfId="0" applyAlignment="1" applyFont="1">
      <alignment readingOrder="0" shrinkToFit="0" vertical="bottom" wrapText="0"/>
    </xf>
    <xf borderId="0" fillId="3" fontId="8" numFmtId="0" xfId="0" applyAlignment="1" applyFont="1">
      <alignment shrinkToFit="0" vertical="bottom" wrapText="0"/>
    </xf>
    <xf borderId="0" fillId="3" fontId="5" numFmtId="0" xfId="0" applyAlignment="1" applyFont="1">
      <alignment horizontal="right" readingOrder="0" shrinkToFit="0" vertical="bottom" wrapText="0"/>
    </xf>
    <xf borderId="0" fillId="3" fontId="9" numFmtId="0" xfId="0" applyFont="1"/>
    <xf borderId="0" fillId="3" fontId="2" numFmtId="0" xfId="0" applyAlignment="1" applyFont="1">
      <alignment readingOrder="0"/>
    </xf>
    <xf borderId="0" fillId="0" fontId="10" numFmtId="0" xfId="0" applyFont="1"/>
    <xf borderId="4" fillId="3" fontId="5" numFmtId="49" xfId="0" applyAlignment="1" applyBorder="1" applyFont="1" applyNumberFormat="1">
      <alignment horizontal="right" shrinkToFit="0" vertical="bottom" wrapText="0"/>
    </xf>
    <xf borderId="0" fillId="3" fontId="11" numFmtId="0" xfId="0" applyAlignment="1" applyFont="1">
      <alignment shrinkToFit="0" vertical="bottom" wrapText="0"/>
    </xf>
    <xf borderId="0" fillId="3" fontId="7" numFmtId="0" xfId="0" applyAlignment="1" applyFont="1">
      <alignment shrinkToFit="0" vertical="bottom" wrapText="0"/>
    </xf>
    <xf borderId="0" fillId="3" fontId="5" numFmtId="0" xfId="0" applyAlignment="1" applyFont="1">
      <alignment horizontal="right" shrinkToFit="0" vertical="bottom" wrapText="0"/>
    </xf>
    <xf borderId="0" fillId="3" fontId="12" numFmtId="0" xfId="0" applyAlignment="1" applyFont="1">
      <alignment horizontal="left" readingOrder="0" shrinkToFit="0" wrapText="0"/>
    </xf>
    <xf borderId="6" fillId="4" fontId="6" numFmtId="164" xfId="0" applyAlignment="1" applyBorder="1" applyFont="1" applyNumberFormat="1">
      <alignment readingOrder="0" shrinkToFit="0" vertical="bottom" wrapText="0"/>
    </xf>
    <xf borderId="6" fillId="4" fontId="6" numFmtId="165" xfId="0" applyAlignment="1" applyBorder="1" applyFont="1" applyNumberFormat="1">
      <alignment horizontal="right" readingOrder="0" shrinkToFit="0" vertical="bottom" wrapText="0"/>
    </xf>
    <xf borderId="6" fillId="4" fontId="13" numFmtId="0" xfId="0" applyAlignment="1" applyBorder="1" applyFont="1">
      <alignment readingOrder="0" shrinkToFit="0" vertical="bottom" wrapText="0"/>
    </xf>
    <xf borderId="6" fillId="4" fontId="6" numFmtId="0" xfId="0" applyAlignment="1" applyBorder="1" applyFont="1">
      <alignment horizontal="right" readingOrder="0" shrinkToFit="0" vertical="bottom" wrapText="0"/>
    </xf>
    <xf borderId="6" fillId="3" fontId="14" numFmtId="0" xfId="0" applyAlignment="1" applyBorder="1" applyFont="1">
      <alignment horizontal="left" readingOrder="0" shrinkToFit="0" wrapText="0"/>
    </xf>
    <xf borderId="0" fillId="3" fontId="15" numFmtId="0" xfId="0" applyAlignment="1" applyFont="1">
      <alignment shrinkToFit="0" vertical="bottom" wrapText="0"/>
    </xf>
    <xf borderId="0" fillId="3" fontId="7" numFmtId="0" xfId="0" applyAlignment="1" applyFont="1">
      <alignment horizontal="right" readingOrder="0" shrinkToFit="0" vertical="bottom" wrapText="0"/>
    </xf>
    <xf borderId="0" fillId="3" fontId="16" numFmtId="0" xfId="0" applyAlignment="1" applyFont="1">
      <alignment shrinkToFit="0" vertical="bottom" wrapText="0"/>
    </xf>
    <xf borderId="0" fillId="3" fontId="17" numFmtId="0" xfId="0" applyAlignment="1" applyFont="1">
      <alignment shrinkToFit="0" vertical="bottom" wrapText="0"/>
    </xf>
    <xf borderId="0" fillId="3" fontId="7" numFmtId="166" xfId="0" applyAlignment="1" applyFont="1" applyNumberFormat="1">
      <alignment horizontal="right" readingOrder="0" shrinkToFit="0" vertical="bottom" wrapText="0"/>
    </xf>
    <xf borderId="0" fillId="3" fontId="18" numFmtId="0" xfId="0" applyAlignment="1" applyFont="1">
      <alignment horizontal="right" readingOrder="0" shrinkToFit="0" vertical="bottom" wrapText="0"/>
    </xf>
    <xf borderId="6" fillId="4" fontId="6" numFmtId="49" xfId="0" applyAlignment="1" applyBorder="1" applyFont="1" applyNumberFormat="1">
      <alignment readingOrder="0" shrinkToFit="0" vertical="bottom" wrapText="0"/>
    </xf>
    <xf borderId="0" fillId="3" fontId="9" numFmtId="0" xfId="0" applyAlignment="1" applyFont="1">
      <alignment readingOrder="0"/>
    </xf>
    <xf borderId="6" fillId="3" fontId="14" numFmtId="0" xfId="0" applyAlignment="1" applyBorder="1" applyFont="1">
      <alignment readingOrder="0" shrinkToFit="0" vertical="bottom" wrapText="0"/>
    </xf>
    <xf borderId="0" fillId="3" fontId="18" numFmtId="0" xfId="0" applyAlignment="1" applyFont="1">
      <alignment shrinkToFit="0" vertical="bottom" wrapText="0"/>
    </xf>
    <xf borderId="6" fillId="4" fontId="19" numFmtId="0" xfId="0" applyAlignment="1" applyBorder="1" applyFont="1">
      <alignment readingOrder="0" shrinkToFit="0" vertical="bottom" wrapText="0"/>
    </xf>
    <xf borderId="6" fillId="4" fontId="20" numFmtId="165" xfId="0" applyAlignment="1" applyBorder="1" applyFont="1" applyNumberFormat="1">
      <alignment readingOrder="0" shrinkToFit="0" vertical="bottom" wrapText="0"/>
    </xf>
    <xf borderId="0" fillId="3" fontId="11" numFmtId="0" xfId="0" applyAlignment="1" applyFont="1">
      <alignment horizontal="left" shrinkToFit="0" vertical="top" wrapText="0"/>
    </xf>
    <xf borderId="7" fillId="3" fontId="1" numFmtId="0" xfId="0" applyBorder="1" applyFont="1"/>
    <xf borderId="8" fillId="3" fontId="1" numFmtId="0" xfId="0" applyBorder="1" applyFont="1"/>
    <xf borderId="8" fillId="3" fontId="2" numFmtId="0" xfId="0" applyBorder="1" applyFont="1"/>
    <xf borderId="9" fillId="3" fontId="1" numFmtId="0" xfId="0" applyBorder="1" applyFont="1"/>
    <xf borderId="1" fillId="2" fontId="3" numFmtId="0" xfId="0" applyAlignment="1" applyBorder="1" applyFont="1">
      <alignment horizontal="center" readingOrder="0" textRotation="0" vertical="center"/>
    </xf>
    <xf borderId="5" fillId="3" fontId="7" numFmtId="0" xfId="0" applyAlignment="1" applyBorder="1" applyFont="1">
      <alignment readingOrder="0" shrinkToFit="0" vertical="bottom" wrapText="0"/>
    </xf>
    <xf borderId="4" fillId="3" fontId="21" numFmtId="49" xfId="0" applyAlignment="1" applyBorder="1" applyFont="1" applyNumberFormat="1">
      <alignment horizontal="right" readingOrder="0" shrinkToFit="0" vertical="bottom" wrapText="0"/>
    </xf>
    <xf borderId="6" fillId="4" fontId="20" numFmtId="167" xfId="0" applyAlignment="1" applyBorder="1" applyFont="1" applyNumberFormat="1">
      <alignment readingOrder="0" shrinkToFit="0" vertical="bottom" wrapText="0"/>
    </xf>
    <xf borderId="9" fillId="3" fontId="7" numFmtId="0" xfId="0" applyAlignment="1" applyBorder="1" applyFont="1">
      <alignment readingOrder="0" shrinkToFit="0" vertical="bottom" wrapText="0"/>
    </xf>
    <xf borderId="6" fillId="4" fontId="6" numFmtId="168" xfId="0" applyAlignment="1" applyBorder="1" applyFont="1" applyNumberFormat="1">
      <alignment readingOrder="0" shrinkToFit="0" vertical="bottom" wrapText="0"/>
    </xf>
    <xf borderId="6" fillId="4" fontId="6" numFmtId="169" xfId="0" applyAlignment="1" applyBorder="1" applyFont="1" applyNumberFormat="1">
      <alignment horizontal="right" readingOrder="0" shrinkToFit="0" vertical="bottom" wrapText="0"/>
    </xf>
    <xf borderId="0" fillId="5" fontId="22" numFmtId="0" xfId="0" applyAlignment="1" applyFill="1" applyFont="1">
      <alignment shrinkToFit="0" vertical="bottom" wrapText="0"/>
    </xf>
    <xf borderId="0" fillId="6" fontId="23" numFmtId="0" xfId="0" applyAlignment="1" applyFill="1" applyFont="1">
      <alignment shrinkToFit="0" vertical="bottom" wrapText="0"/>
    </xf>
    <xf borderId="0" fillId="6" fontId="11" numFmtId="0" xfId="0" applyAlignment="1" applyFont="1">
      <alignment shrinkToFit="0" vertical="bottom" wrapText="0"/>
    </xf>
    <xf borderId="0" fillId="5" fontId="11" numFmtId="0" xfId="0" applyAlignment="1" applyFont="1">
      <alignment shrinkToFit="0" vertical="bottom" wrapText="0"/>
    </xf>
    <xf borderId="0" fillId="5" fontId="24" numFmtId="0" xfId="0" applyAlignment="1" applyFont="1">
      <alignment readingOrder="0" shrinkToFit="0" vertical="bottom" wrapText="0"/>
    </xf>
    <xf borderId="0" fillId="0" fontId="0" numFmtId="0" xfId="0" applyFont="1"/>
    <xf borderId="0" fillId="0" fontId="25" numFmtId="0" xfId="0" applyFont="1"/>
    <xf borderId="0" fillId="5" fontId="26" numFmtId="0" xfId="0" applyAlignment="1" applyFont="1">
      <alignment readingOrder="0" shrinkToFit="0" vertical="bottom" wrapText="0"/>
    </xf>
    <xf borderId="0" fillId="5" fontId="11" numFmtId="0" xfId="0" applyAlignment="1" applyFont="1">
      <alignment readingOrder="0" shrinkToFit="0" vertical="bottom" wrapText="0"/>
    </xf>
    <xf borderId="4" fillId="7" fontId="6" numFmtId="0" xfId="0" applyAlignment="1" applyBorder="1" applyFill="1" applyFont="1">
      <alignment horizontal="left" readingOrder="0" shrinkToFit="0" vertical="bottom" wrapText="0"/>
    </xf>
    <xf borderId="10" fillId="7" fontId="6" numFmtId="0" xfId="0" applyAlignment="1" applyBorder="1" applyFont="1">
      <alignment readingOrder="0" shrinkToFit="0" vertical="bottom" wrapText="0"/>
    </xf>
    <xf borderId="0" fillId="5" fontId="11" numFmtId="14" xfId="0" applyAlignment="1" applyFont="1" applyNumberFormat="1">
      <alignment readingOrder="0" shrinkToFit="0" vertical="bottom" wrapText="0"/>
    </xf>
    <xf borderId="0" fillId="5" fontId="11" numFmtId="49" xfId="0" applyAlignment="1" applyFont="1" applyNumberFormat="1">
      <alignment readingOrder="0" shrinkToFit="0" vertical="bottom" wrapText="0"/>
    </xf>
    <xf borderId="0" fillId="5" fontId="11" numFmtId="167" xfId="0" applyAlignment="1" applyFont="1" applyNumberFormat="1">
      <alignment horizontal="right" readingOrder="0" shrinkToFit="0" vertical="bottom" wrapText="0"/>
    </xf>
    <xf borderId="10" fillId="7" fontId="6" numFmtId="0" xfId="0" applyAlignment="1" applyBorder="1" applyFont="1">
      <alignment horizontal="left" readingOrder="0" shrinkToFit="0" vertical="bottom" wrapText="0"/>
    </xf>
    <xf borderId="0" fillId="5" fontId="11" numFmtId="0" xfId="0" applyAlignment="1" applyFont="1">
      <alignment horizontal="left" shrinkToFit="0" vertical="bottom" wrapText="0"/>
    </xf>
    <xf borderId="11" fillId="7" fontId="11" numFmtId="0" xfId="0" applyAlignment="1" applyBorder="1" applyFont="1">
      <alignment readingOrder="0" shrinkToFit="0" vertical="bottom" wrapText="0"/>
    </xf>
    <xf borderId="10" fillId="0" fontId="6" numFmtId="0" xfId="0" applyAlignment="1" applyBorder="1" applyFont="1">
      <alignment horizontal="left" readingOrder="0" shrinkToFit="0" wrapText="0"/>
    </xf>
    <xf borderId="0" fillId="5" fontId="11" numFmtId="0" xfId="0" applyAlignment="1" applyFont="1">
      <alignment horizontal="left" shrinkToFit="0" wrapText="0"/>
    </xf>
    <xf borderId="12" fillId="7" fontId="11" numFmtId="0" xfId="0" applyAlignment="1" applyBorder="1" applyFont="1">
      <alignment readingOrder="0" shrinkToFit="0" vertical="bottom" wrapText="0"/>
    </xf>
    <xf borderId="12" fillId="0" fontId="11" numFmtId="0" xfId="0" applyAlignment="1" applyBorder="1" applyFont="1">
      <alignment horizontal="left" readingOrder="0" shrinkToFit="0" wrapText="0"/>
    </xf>
    <xf borderId="13" fillId="0" fontId="11" numFmtId="170" xfId="0" applyAlignment="1" applyBorder="1" applyFont="1" applyNumberFormat="1">
      <alignment horizontal="left" readingOrder="0" shrinkToFit="0" wrapText="0"/>
    </xf>
    <xf borderId="0" fillId="5" fontId="11" numFmtId="0" xfId="0" applyAlignment="1" applyFont="1">
      <alignment horizontal="right" readingOrder="0" shrinkToFit="0" vertical="bottom" wrapText="0"/>
    </xf>
    <xf borderId="0" fillId="5" fontId="11" numFmtId="0" xfId="0" applyAlignment="1" applyFont="1">
      <alignment horizontal="left" readingOrder="0" shrinkToFit="0" vertical="bottom" wrapText="0"/>
    </xf>
    <xf borderId="0" fillId="5" fontId="11" numFmtId="171" xfId="0" applyAlignment="1" applyFont="1" applyNumberFormat="1">
      <alignment horizontal="left" readingOrder="0" shrinkToFit="0" vertical="bottom" wrapText="0"/>
    </xf>
    <xf borderId="10" fillId="7" fontId="6" numFmtId="170" xfId="0" applyAlignment="1" applyBorder="1" applyFont="1" applyNumberFormat="1">
      <alignment horizontal="left" readingOrder="0" shrinkToFit="0" vertical="bottom" wrapText="0"/>
    </xf>
    <xf borderId="0" fillId="5" fontId="11" numFmtId="171" xfId="0" applyAlignment="1" applyFont="1" applyNumberFormat="1">
      <alignment horizontal="left" shrinkToFit="0" vertical="bottom" wrapText="0"/>
    </xf>
    <xf borderId="0" fillId="5" fontId="11" numFmtId="170" xfId="0" applyAlignment="1" applyFont="1" applyNumberFormat="1">
      <alignment horizontal="left" readingOrder="0" shrinkToFit="0" vertical="bottom" wrapText="0"/>
    </xf>
    <xf borderId="0" fillId="5" fontId="6" numFmtId="0" xfId="0" applyAlignment="1" applyFont="1">
      <alignment readingOrder="0" shrinkToFit="0" vertical="bottom" wrapText="0"/>
    </xf>
    <xf borderId="10" fillId="7" fontId="11" numFmtId="165" xfId="0" applyAlignment="1" applyBorder="1" applyFont="1" applyNumberFormat="1">
      <alignment horizontal="left" readingOrder="0" shrinkToFit="0" vertical="bottom" wrapText="0"/>
    </xf>
    <xf borderId="0" fillId="5" fontId="20" numFmtId="0" xfId="0" applyAlignment="1" applyFont="1">
      <alignment horizontal="left" readingOrder="0" shrinkToFit="0" vertical="bottom" wrapText="0"/>
    </xf>
    <xf borderId="0" fillId="5" fontId="17" numFmtId="0" xfId="0" applyAlignment="1" applyFont="1">
      <alignment horizontal="left" readingOrder="0" shrinkToFit="0" vertical="bottom" wrapText="0"/>
    </xf>
    <xf borderId="0" fillId="5" fontId="17" numFmtId="0" xfId="0" applyAlignment="1" applyFont="1">
      <alignment horizontal="left" shrinkToFit="0" vertical="bottom" wrapText="0"/>
    </xf>
    <xf borderId="0" fillId="5" fontId="27" numFmtId="0" xfId="0" applyAlignment="1" applyFont="1">
      <alignment horizontal="right" readingOrder="0" shrinkToFit="0" vertical="bottom" wrapText="0"/>
    </xf>
    <xf borderId="0" fillId="5" fontId="27" numFmtId="0" xfId="0" applyAlignment="1" applyFont="1">
      <alignment shrinkToFit="0" vertical="bottom" wrapText="0"/>
    </xf>
    <xf borderId="0" fillId="5" fontId="28" numFmtId="0" xfId="0" applyAlignment="1" applyFont="1">
      <alignment readingOrder="0" shrinkToFit="0" vertical="bottom" wrapText="0"/>
    </xf>
    <xf borderId="0" fillId="5" fontId="27" numFmtId="0" xfId="0" applyAlignment="1" applyFont="1">
      <alignment readingOrder="0" shrinkToFit="0" vertical="bottom" wrapText="0"/>
    </xf>
    <xf borderId="0" fillId="7" fontId="25" numFmtId="0" xfId="0" applyFont="1"/>
    <xf borderId="0" fillId="5" fontId="29" numFmtId="0" xfId="0" applyAlignment="1" applyFont="1">
      <alignment horizontal="left" readingOrder="0" shrinkToFit="0" vertical="bottom" wrapText="0"/>
    </xf>
    <xf borderId="0" fillId="5" fontId="30" numFmtId="0" xfId="0" applyAlignment="1" applyFont="1">
      <alignment readingOrder="0" shrinkToFit="0" vertical="bottom" wrapText="0"/>
    </xf>
    <xf borderId="0" fillId="5" fontId="29" numFmtId="9" xfId="0" applyAlignment="1" applyFont="1" applyNumberFormat="1">
      <alignment horizontal="left" readingOrder="0" shrinkToFit="0" vertical="bottom" wrapText="0"/>
    </xf>
    <xf borderId="11" fillId="7" fontId="6" numFmtId="0" xfId="0" applyAlignment="1" applyBorder="1" applyFont="1">
      <alignment horizontal="left" readingOrder="0" shrinkToFit="0" vertical="bottom" wrapText="0"/>
    </xf>
    <xf borderId="12" fillId="7" fontId="6" numFmtId="165" xfId="0" applyAlignment="1" applyBorder="1" applyFont="1" applyNumberFormat="1">
      <alignment horizontal="left" readingOrder="0" shrinkToFit="0" vertical="bottom" wrapText="0"/>
    </xf>
    <xf borderId="13" fillId="7" fontId="6" numFmtId="165" xfId="0" applyAlignment="1" applyBorder="1" applyFont="1" applyNumberFormat="1">
      <alignment horizontal="left" readingOrder="0" shrinkToFit="0" vertical="bottom" wrapText="0"/>
    </xf>
    <xf borderId="10" fillId="7" fontId="6" numFmtId="172" xfId="0" applyAlignment="1" applyBorder="1" applyFont="1" applyNumberFormat="1">
      <alignment horizontal="right" readingOrder="0" shrinkToFit="0" vertical="bottom" wrapText="0"/>
    </xf>
    <xf borderId="0" fillId="5" fontId="11" numFmtId="0" xfId="0" applyAlignment="1" applyFont="1">
      <alignment shrinkToFit="0" vertical="bottom" wrapText="0"/>
    </xf>
    <xf borderId="10" fillId="7" fontId="6" numFmtId="0" xfId="0" applyAlignment="1" applyBorder="1" applyFont="1">
      <alignment horizontal="right" readingOrder="0" shrinkToFit="0" vertical="bottom" wrapText="0"/>
    </xf>
    <xf borderId="0" fillId="5" fontId="11" numFmtId="165" xfId="0" applyAlignment="1" applyFont="1" applyNumberFormat="1">
      <alignment horizontal="right" readingOrder="0" shrinkToFit="0" vertical="bottom" wrapText="0"/>
    </xf>
    <xf borderId="0" fillId="5" fontId="11" numFmtId="10" xfId="0" applyAlignment="1" applyFont="1" applyNumberFormat="1">
      <alignment horizontal="right" readingOrder="0" shrinkToFit="0" vertical="bottom" wrapText="0"/>
    </xf>
    <xf borderId="11" fillId="7" fontId="6" numFmtId="0" xfId="0" applyAlignment="1" applyBorder="1" applyFont="1">
      <alignment readingOrder="0" shrinkToFit="0" vertical="bottom" wrapText="0"/>
    </xf>
    <xf borderId="12" fillId="7" fontId="6" numFmtId="20" xfId="0" applyAlignment="1" applyBorder="1" applyFont="1" applyNumberFormat="1">
      <alignment readingOrder="0" shrinkToFit="0" vertical="bottom" wrapText="0"/>
    </xf>
    <xf borderId="13" fillId="7" fontId="6" numFmtId="20" xfId="0" applyAlignment="1" applyBorder="1" applyFont="1" applyNumberFormat="1">
      <alignment readingOrder="0" shrinkToFit="0" vertical="bottom" wrapText="0"/>
    </xf>
    <xf borderId="0" fillId="7" fontId="6" numFmtId="0" xfId="0" applyAlignment="1" applyFont="1">
      <alignment horizontal="left" readingOrder="0" shrinkToFit="0" vertical="bottom" wrapText="0"/>
    </xf>
    <xf borderId="11" fillId="7" fontId="11" numFmtId="0" xfId="0" applyAlignment="1" applyBorder="1" applyFont="1">
      <alignment horizontal="left" readingOrder="0" shrinkToFit="0" wrapText="0"/>
    </xf>
    <xf borderId="13" fillId="7" fontId="11" numFmtId="0" xfId="0" applyAlignment="1" applyBorder="1" applyFont="1">
      <alignment horizontal="left" readingOrder="0" shrinkToFit="0" wrapText="0"/>
    </xf>
    <xf borderId="10" fillId="7" fontId="11" numFmtId="165" xfId="0" applyAlignment="1" applyBorder="1" applyFont="1" applyNumberFormat="1">
      <alignment horizontal="right" readingOrder="0" shrinkToFit="0" vertical="bottom" wrapText="0"/>
    </xf>
    <xf borderId="0" fillId="5" fontId="6" numFmtId="0" xfId="0" applyAlignment="1" applyFont="1">
      <alignment horizontal="left" readingOrder="0" shrinkToFit="0" vertical="bottom" wrapText="0"/>
    </xf>
    <xf borderId="0" fillId="7" fontId="11" numFmtId="0" xfId="0" applyAlignment="1" applyFont="1">
      <alignment horizontal="right" readingOrder="0" shrinkToFit="0" vertical="bottom" wrapText="0"/>
    </xf>
    <xf borderId="0" fillId="5" fontId="6" numFmtId="165" xfId="0" applyAlignment="1" applyFont="1" applyNumberFormat="1">
      <alignment horizontal="right" readingOrder="0" shrinkToFit="0" vertical="bottom" wrapText="0"/>
    </xf>
    <xf borderId="0" fillId="0" fontId="1" numFmtId="49" xfId="0" applyFont="1" applyNumberFormat="1"/>
    <xf borderId="0" fillId="0" fontId="1" numFmtId="0" xfId="0" applyAlignment="1" applyFont="1">
      <alignment horizontal="left" readingOrder="0" shrinkToFit="0" vertical="center" wrapText="0"/>
    </xf>
    <xf borderId="0" fillId="0" fontId="31" numFmtId="0" xfId="0" applyAlignment="1" applyFont="1">
      <alignment horizontal="left" readingOrder="0" shrinkToFit="0" vertical="bottom" wrapText="0"/>
    </xf>
    <xf borderId="0" fillId="0" fontId="31" numFmtId="49" xfId="0" applyAlignment="1" applyFont="1" applyNumberFormat="1">
      <alignment horizontal="left" readingOrder="0" shrinkToFit="0" vertical="bottom" wrapText="0"/>
    </xf>
    <xf borderId="0" fillId="0" fontId="32" numFmtId="49" xfId="0" applyAlignment="1" applyFont="1" applyNumberFormat="1">
      <alignment horizontal="left" readingOrder="0" shrinkToFit="0" vertical="bottom"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horizontal="right" readingOrder="0" shrinkToFit="0" vertical="center" wrapText="0"/>
    </xf>
    <xf borderId="0" fillId="0" fontId="2" numFmtId="165" xfId="0" applyAlignment="1" applyFont="1" applyNumberFormat="1">
      <alignment readingOrder="0" shrinkToFit="0" vertical="center" wrapText="0"/>
    </xf>
    <xf borderId="0" fillId="0" fontId="2" numFmtId="14" xfId="0" applyAlignment="1" applyFont="1" applyNumberFormat="1">
      <alignment horizontal="right" readingOrder="0" shrinkToFit="0" vertical="center" wrapText="0"/>
    </xf>
    <xf borderId="0" fillId="0" fontId="2" numFmtId="49" xfId="0" applyFont="1" applyNumberFormat="1"/>
    <xf borderId="0" fillId="0" fontId="29" numFmtId="0" xfId="0" applyAlignment="1" applyFont="1">
      <alignment horizontal="center" readingOrder="0" shrinkToFit="0" vertical="bottom" wrapText="0"/>
    </xf>
    <xf borderId="0" fillId="0" fontId="11" numFmtId="0" xfId="0" applyAlignment="1" applyFont="1">
      <alignment shrinkToFit="0" vertical="bottom" wrapText="0"/>
    </xf>
    <xf borderId="0" fillId="0" fontId="33" numFmtId="0" xfId="0" applyAlignment="1" applyFont="1">
      <alignment readingOrder="0" shrinkToFit="0" wrapText="0"/>
    </xf>
    <xf borderId="0" fillId="0" fontId="34" numFmtId="0" xfId="0" applyAlignment="1" applyFont="1">
      <alignment readingOrder="0" shrinkToFit="0" wrapText="0"/>
    </xf>
    <xf borderId="0" fillId="0" fontId="5" numFmtId="0" xfId="0" applyAlignment="1" applyFont="1">
      <alignment shrinkToFit="0" vertical="bottom" wrapText="0"/>
    </xf>
    <xf borderId="0" fillId="0" fontId="33" numFmtId="0" xfId="0" applyAlignment="1" applyFont="1">
      <alignment shrinkToFit="0" wrapText="0"/>
    </xf>
    <xf borderId="0" fillId="0" fontId="35" numFmtId="0" xfId="0" applyAlignment="1" applyFont="1">
      <alignment readingOrder="0" shrinkToFit="0" vertical="bottom" wrapText="0"/>
    </xf>
    <xf borderId="0" fillId="0" fontId="5" numFmtId="0" xfId="0" applyAlignment="1" applyFont="1">
      <alignment readingOrder="0" shrinkToFit="0" vertical="bottom" wrapText="0"/>
    </xf>
    <xf borderId="0" fillId="0" fontId="35" numFmtId="0" xfId="0" applyAlignment="1" applyFont="1">
      <alignment horizontal="left" readingOrder="0" shrinkToFit="0" vertical="bottom" wrapText="0"/>
    </xf>
    <xf borderId="0" fillId="0" fontId="5" numFmtId="0" xfId="0" applyAlignment="1" applyFont="1">
      <alignment horizontal="left" shrinkToFit="0" vertical="bottom" wrapText="0"/>
    </xf>
    <xf borderId="0" fillId="0" fontId="35" numFmtId="0" xfId="0" applyAlignment="1" applyFont="1">
      <alignment readingOrder="0" shrinkToFit="0" wrapText="1"/>
    </xf>
    <xf borderId="0" fillId="0" fontId="35" numFmtId="0" xfId="0" applyAlignment="1" applyFont="1">
      <alignment readingOrder="0" shrinkToFit="0" wrapText="0"/>
    </xf>
    <xf borderId="0" fillId="0" fontId="35" numFmtId="0" xfId="0" applyAlignment="1" applyFont="1">
      <alignment shrinkToFit="0" wrapText="0"/>
    </xf>
    <xf borderId="0" fillId="0" fontId="36" numFmtId="0" xfId="0" applyAlignment="1" applyFont="1">
      <alignment readingOrder="0" shrinkToFit="0" wrapText="0"/>
    </xf>
    <xf borderId="0" fillId="0" fontId="35" numFmtId="0" xfId="0" applyAlignment="1" applyFont="1">
      <alignment horizontal="left" readingOrder="0" shrinkToFit="0" wrapText="1"/>
    </xf>
    <xf borderId="0" fillId="0" fontId="35" numFmtId="0" xfId="0" applyAlignment="1" applyFont="1">
      <alignment readingOrder="0" shrinkToFit="0" vertical="bottom" wrapText="0"/>
    </xf>
    <xf borderId="0" fillId="0" fontId="36" numFmtId="0" xfId="0" applyAlignment="1" applyFont="1">
      <alignment readingOrder="0" shrinkToFit="0" vertical="bottom" wrapText="0"/>
    </xf>
    <xf borderId="0" fillId="0" fontId="37" numFmtId="0" xfId="0" applyAlignment="1" applyFont="1">
      <alignment readingOrder="0" shrinkToFit="0" wrapText="0"/>
    </xf>
    <xf borderId="0" fillId="0" fontId="33" numFmtId="0" xfId="0" applyAlignment="1" applyFont="1">
      <alignment readingOrder="0" shrinkToFit="0" wrapText="1"/>
    </xf>
    <xf borderId="0" fillId="0" fontId="37" numFmtId="170" xfId="0" applyAlignment="1" applyFont="1" applyNumberFormat="1">
      <alignment horizontal="right" readingOrder="0" shrinkToFit="0" wrapText="0"/>
    </xf>
    <xf borderId="0" fillId="0" fontId="33" numFmtId="0" xfId="0" applyAlignment="1" applyFont="1">
      <alignment horizontal="left" readingOrder="0" shrinkToFit="0" wrapText="0"/>
    </xf>
    <xf borderId="0" fillId="0" fontId="33" numFmtId="0" xfId="0" applyAlignment="1" applyFont="1">
      <alignment horizontal="left" shrinkToFit="0" wrapText="0"/>
    </xf>
    <xf borderId="0" fillId="0" fontId="38" numFmtId="0" xfId="0" applyAlignment="1" applyFont="1">
      <alignment horizontal="left" readingOrder="0" shrinkToFit="0" vertical="top" wrapText="0"/>
    </xf>
    <xf borderId="0" fillId="0" fontId="11" numFmtId="0" xfId="0" applyAlignment="1" applyFont="1">
      <alignment readingOrder="0" shrinkToFit="0" vertical="bottom" wrapText="0"/>
    </xf>
    <xf borderId="0" fillId="0" fontId="35" numFmtId="173" xfId="0" applyAlignment="1" applyFont="1" applyNumberFormat="1">
      <alignment horizontal="left" readingOrder="0" shrinkToFit="0" vertical="bottom" wrapText="0"/>
    </xf>
    <xf borderId="0" fillId="0" fontId="39" numFmtId="0" xfId="0" applyAlignment="1" applyFont="1">
      <alignment horizontal="center" readingOrder="0" shrinkToFit="0" vertical="bottom" wrapText="0"/>
    </xf>
    <xf borderId="0" fillId="0" fontId="11" numFmtId="0" xfId="0" applyAlignment="1" applyFont="1">
      <alignment shrinkToFit="0" vertical="bottom" wrapText="0"/>
    </xf>
    <xf borderId="0" fillId="0" fontId="36" numFmtId="0" xfId="0" applyAlignment="1" applyFont="1">
      <alignment shrinkToFit="0" vertical="bottom" wrapText="0"/>
    </xf>
    <xf borderId="0" fillId="0" fontId="33" numFmtId="0" xfId="0" applyAlignment="1" applyFont="1">
      <alignment readingOrder="0" shrinkToFit="0" wrapText="0"/>
    </xf>
    <xf borderId="0" fillId="0" fontId="33" numFmtId="0" xfId="0" applyAlignment="1" applyFont="1">
      <alignment shrinkToFit="0" wrapText="0"/>
    </xf>
    <xf borderId="0" fillId="0" fontId="38" numFmtId="0" xfId="0" applyAlignment="1" applyFont="1">
      <alignment shrinkToFit="0" vertical="bottom" wrapText="0"/>
    </xf>
    <xf borderId="0" fillId="0" fontId="36" numFmtId="170" xfId="0" applyAlignment="1" applyFont="1" applyNumberFormat="1">
      <alignment readingOrder="0" shrinkToFit="0" wrapText="0"/>
    </xf>
    <xf borderId="0" fillId="0" fontId="33" numFmtId="170" xfId="0" applyAlignment="1" applyFont="1" applyNumberFormat="1">
      <alignment readingOrder="0" shrinkToFit="0" wrapText="0"/>
    </xf>
    <xf borderId="0" fillId="0" fontId="33" numFmtId="0" xfId="0" applyAlignment="1" applyFont="1">
      <alignment horizontal="left" shrinkToFit="0" wrapText="0"/>
    </xf>
    <xf borderId="0" fillId="0" fontId="34" numFmtId="0" xfId="0" applyAlignment="1" applyFont="1">
      <alignment horizontal="left" readingOrder="0" shrinkToFit="0" wrapText="0"/>
    </xf>
    <xf borderId="0" fillId="0" fontId="40" numFmtId="0" xfId="0" applyAlignment="1" applyFont="1">
      <alignment readingOrder="0" shrinkToFit="0" vertical="bottom" wrapText="0"/>
    </xf>
    <xf borderId="0" fillId="0" fontId="41" numFmtId="0" xfId="0" applyAlignment="1" applyFont="1">
      <alignment readingOrder="0" shrinkToFit="0" wrapText="0"/>
    </xf>
    <xf borderId="0" fillId="0" fontId="33" numFmtId="0" xfId="0" applyAlignment="1" applyFont="1">
      <alignment readingOrder="0" shrinkToFit="0" vertical="top" wrapText="0"/>
    </xf>
    <xf borderId="0" fillId="0" fontId="35" numFmtId="0" xfId="0" applyAlignment="1" applyFont="1">
      <alignment shrinkToFit="0" vertical="bottom" wrapText="0"/>
    </xf>
    <xf borderId="0" fillId="0" fontId="35" numFmtId="0" xfId="0" applyAlignment="1" applyFont="1">
      <alignment shrinkToFit="0" vertical="bottom" wrapText="0"/>
    </xf>
    <xf borderId="0" fillId="0" fontId="33" numFmtId="0" xfId="0" applyAlignment="1" applyFont="1">
      <alignment horizontal="left" readingOrder="0" shrinkToFit="0" vertical="bottom" wrapText="0"/>
    </xf>
    <xf borderId="0" fillId="0" fontId="35" numFmtId="0" xfId="0" applyAlignment="1" applyFont="1">
      <alignment horizontal="left" readingOrder="0" shrinkToFit="0" wrapText="0"/>
    </xf>
    <xf borderId="0" fillId="0" fontId="42" numFmtId="0" xfId="0" applyAlignment="1" applyFont="1">
      <alignment readingOrder="0" shrinkToFit="0" wrapText="0"/>
    </xf>
    <xf borderId="0" fillId="0" fontId="35" numFmtId="0" xfId="0" applyAlignment="1" applyFont="1">
      <alignment shrinkToFit="0" wrapText="0"/>
    </xf>
    <xf borderId="0" fillId="0" fontId="41" numFmtId="0" xfId="0" applyAlignment="1" applyFont="1">
      <alignment horizontal="left" readingOrder="0" shrinkToFit="0" wrapText="0"/>
    </xf>
    <xf borderId="0" fillId="0" fontId="33" numFmtId="0" xfId="0" applyAlignment="1" applyFont="1">
      <alignment readingOrder="0" shrinkToFit="0" vertical="bottom" wrapText="0"/>
    </xf>
    <xf borderId="0" fillId="0" fontId="43" numFmtId="0" xfId="0" applyAlignment="1" applyFont="1">
      <alignment readingOrder="0" shrinkToFit="0" vertical="bottom" wrapText="0"/>
    </xf>
    <xf borderId="0" fillId="0" fontId="44" numFmtId="0" xfId="0" applyAlignment="1" applyFont="1">
      <alignment shrinkToFit="0" vertical="bottom" wrapText="0"/>
    </xf>
    <xf borderId="0" fillId="0" fontId="45" numFmtId="0" xfId="0" applyAlignment="1" applyFont="1">
      <alignment readingOrder="0" shrinkToFit="0" wrapText="0"/>
    </xf>
    <xf borderId="0" fillId="0" fontId="46" numFmtId="0" xfId="0" applyAlignment="1" applyFont="1">
      <alignment readingOrder="0" shrinkToFit="0" vertical="bottom" wrapText="0"/>
    </xf>
    <xf borderId="0" fillId="0" fontId="47" numFmtId="0" xfId="0" applyAlignment="1" applyFont="1">
      <alignment horizontal="center" readingOrder="0" shrinkToFit="0" vertical="bottom" wrapText="0"/>
    </xf>
    <xf borderId="0" fillId="0" fontId="33" numFmtId="0" xfId="0" applyAlignment="1" applyFont="1">
      <alignment horizontal="left" readingOrder="0" shrinkToFit="0" wrapText="1"/>
    </xf>
    <xf borderId="0" fillId="0" fontId="30" numFmtId="0" xfId="0" applyAlignment="1" applyFont="1">
      <alignment horizontal="center" readingOrder="0" shrinkToFit="0" vertical="bottom" wrapText="0"/>
    </xf>
    <xf borderId="0" fillId="0" fontId="30" numFmtId="0" xfId="0" applyAlignment="1" applyFont="1">
      <alignment horizontal="center" shrinkToFit="0" vertical="bottom" wrapText="0"/>
    </xf>
    <xf borderId="0" fillId="0" fontId="30" numFmtId="0" xfId="0" applyAlignment="1" applyFont="1">
      <alignment horizontal="center" shrinkToFit="0" vertical="bottom" wrapText="0"/>
    </xf>
    <xf borderId="0" fillId="0" fontId="6" numFmtId="0" xfId="0" applyAlignment="1" applyFont="1">
      <alignment horizontal="right" readingOrder="0" shrinkToFit="0" vertical="bottom" wrapText="0"/>
    </xf>
    <xf borderId="0" fillId="0" fontId="6" numFmtId="0" xfId="0" applyAlignment="1" applyFont="1">
      <alignment horizontal="left" readingOrder="0" shrinkToFit="0" vertical="bottom" wrapText="0"/>
    </xf>
    <xf borderId="0" fillId="0" fontId="6" numFmtId="0" xfId="0" applyAlignment="1" applyFont="1">
      <alignment horizontal="left" shrinkToFit="0" vertical="bottom" wrapText="0"/>
    </xf>
    <xf borderId="0" fillId="0" fontId="30" numFmtId="0" xfId="0" applyAlignment="1" applyFont="1">
      <alignment horizontal="left" readingOrder="0" shrinkToFit="0" vertical="bottom" wrapText="0"/>
    </xf>
    <xf borderId="0" fillId="0" fontId="30" numFmtId="0" xfId="0" applyAlignment="1" applyFont="1">
      <alignment horizontal="left" shrinkToFit="0" vertical="bottom" wrapText="0"/>
    </xf>
    <xf borderId="0" fillId="0" fontId="6" numFmtId="0" xfId="0" applyAlignment="1" applyFont="1">
      <alignment readingOrder="0" shrinkToFit="0" vertical="bottom" wrapText="0"/>
    </xf>
    <xf borderId="0" fillId="0" fontId="6" numFmtId="0" xfId="0" applyAlignment="1" applyFont="1">
      <alignment horizontal="left" readingOrder="0" shrinkToFit="0" vertical="top" wrapText="1"/>
    </xf>
    <xf borderId="0" fillId="0" fontId="6" numFmtId="0" xfId="0" applyAlignment="1" applyFont="1">
      <alignment horizontal="left" readingOrder="0" vertical="top"/>
    </xf>
    <xf borderId="14" fillId="0" fontId="6" numFmtId="0" xfId="0" applyAlignment="1" applyBorder="1" applyFont="1">
      <alignment readingOrder="0" shrinkToFit="0" vertical="bottom" wrapText="0"/>
    </xf>
    <xf borderId="14" fillId="0" fontId="11" numFmtId="0" xfId="0" applyAlignment="1" applyBorder="1" applyFont="1">
      <alignment shrinkToFit="0" vertical="bottom" wrapText="0"/>
    </xf>
    <xf borderId="0" fillId="0" fontId="6" numFmtId="0" xfId="0" applyAlignment="1" applyFont="1">
      <alignment horizontal="left" vertical="top"/>
    </xf>
    <xf borderId="0" fillId="0" fontId="33" numFmtId="0" xfId="0" applyFont="1"/>
    <xf borderId="0" fillId="0" fontId="48" numFmtId="0" xfId="0" applyAlignment="1" applyFont="1">
      <alignment horizontal="center" readingOrder="0" shrinkToFit="0" wrapText="0"/>
    </xf>
    <xf borderId="0" fillId="0" fontId="36" numFmtId="0" xfId="0" applyAlignment="1" applyFont="1">
      <alignment horizontal="left" shrinkToFit="0" wrapText="0"/>
    </xf>
    <xf borderId="0" fillId="0" fontId="35" numFmtId="0" xfId="0" applyAlignment="1" applyFont="1">
      <alignment shrinkToFit="0" vertical="bottom" wrapText="0"/>
    </xf>
    <xf borderId="0" fillId="0" fontId="36" numFmtId="0" xfId="0" applyAlignment="1" applyFont="1">
      <alignment horizontal="center" shrinkToFit="0" vertical="bottom" wrapText="0"/>
    </xf>
    <xf borderId="0" fillId="0" fontId="35" numFmtId="0" xfId="0" applyAlignment="1" applyFont="1">
      <alignment horizontal="left" readingOrder="0" shrinkToFit="0" wrapText="0"/>
    </xf>
    <xf borderId="0" fillId="0" fontId="35" numFmtId="0" xfId="0" applyAlignment="1" applyFont="1">
      <alignment shrinkToFit="0" vertical="bottom" wrapText="0"/>
    </xf>
    <xf borderId="0" fillId="0" fontId="37" numFmtId="0" xfId="0" applyFont="1"/>
    <xf borderId="0" fillId="0" fontId="33" numFmtId="0" xfId="0" applyFont="1"/>
    <xf borderId="0" fillId="0" fontId="35" numFmtId="0" xfId="0" applyAlignment="1" applyFont="1">
      <alignment horizontal="left" readingOrder="0" shrinkToFit="0" vertical="top" wrapText="1"/>
    </xf>
    <xf borderId="0" fillId="0" fontId="35" numFmtId="0" xfId="0" applyAlignment="1" applyFont="1">
      <alignment horizontal="left" vertical="top"/>
    </xf>
    <xf borderId="0" fillId="0" fontId="37" numFmtId="0" xfId="0" applyFont="1"/>
    <xf borderId="0" fillId="0" fontId="35" numFmtId="0" xfId="0" applyAlignment="1" applyFont="1">
      <alignment horizontal="left" readingOrder="0" shrinkToFit="0" vertical="bottom" wrapText="0"/>
    </xf>
    <xf borderId="0" fillId="0" fontId="33" numFmtId="165" xfId="0" applyAlignment="1" applyFont="1" applyNumberFormat="1">
      <alignment horizontal="left"/>
    </xf>
    <xf borderId="0" fillId="0" fontId="35" numFmtId="0" xfId="0" applyAlignment="1" applyFont="1">
      <alignment horizontal="left" shrinkToFit="0" wrapText="0"/>
    </xf>
    <xf borderId="0" fillId="0" fontId="35" numFmtId="0" xfId="0" applyAlignment="1" applyFont="1">
      <alignment horizontal="left" readingOrder="0" shrinkToFit="0" wrapText="1"/>
    </xf>
    <xf borderId="0" fillId="0" fontId="49" numFmtId="0" xfId="0" applyAlignment="1" applyFont="1">
      <alignment horizontal="left" shrinkToFit="0" wrapText="0"/>
    </xf>
    <xf borderId="0" fillId="0" fontId="49" numFmtId="0" xfId="0" applyAlignment="1" applyFont="1">
      <alignment horizontal="left" readingOrder="0" shrinkToFit="0" wrapText="0"/>
    </xf>
    <xf borderId="0" fillId="0" fontId="50" numFmtId="0" xfId="0" applyAlignment="1" applyFont="1">
      <alignment horizontal="left" shrinkToFit="0" wrapText="0"/>
    </xf>
    <xf borderId="0" fillId="0" fontId="33" numFmtId="0" xfId="0" applyAlignment="1" applyFont="1">
      <alignment readingOrder="0" shrinkToFit="0" wrapText="1"/>
    </xf>
    <xf borderId="0" fillId="0" fontId="35" numFmtId="0" xfId="0" applyAlignment="1" applyFont="1">
      <alignment horizontal="right" shrinkToFit="0" vertical="bottom" wrapText="0"/>
    </xf>
    <xf borderId="0" fillId="0" fontId="36" numFmtId="0" xfId="0" applyAlignment="1" applyFont="1">
      <alignment readingOrder="0" shrinkToFit="0" wrapText="0"/>
    </xf>
    <xf borderId="0" fillId="0" fontId="33" numFmtId="0" xfId="0" applyAlignment="1" applyFont="1">
      <alignment shrinkToFit="0" wrapText="0"/>
    </xf>
    <xf borderId="0" fillId="0" fontId="36" numFmtId="170" xfId="0" applyAlignment="1" applyFont="1" applyNumberFormat="1">
      <alignment readingOrder="0" shrinkToFit="0" wrapText="0"/>
    </xf>
    <xf borderId="0" fillId="0" fontId="33" numFmtId="170" xfId="0" applyAlignment="1" applyFont="1" applyNumberFormat="1">
      <alignment readingOrder="0" shrinkToFit="0" wrapText="0"/>
    </xf>
    <xf borderId="0" fillId="0" fontId="33" numFmtId="0" xfId="0" applyAlignment="1" applyFont="1">
      <alignment horizontal="left" readingOrder="0" shrinkToFit="0" wrapText="0"/>
    </xf>
    <xf borderId="0" fillId="0" fontId="33" numFmtId="0" xfId="0" applyAlignment="1" applyFont="1">
      <alignment horizontal="left" shrinkToFit="0" wrapText="0"/>
    </xf>
    <xf borderId="0" fillId="0" fontId="33" numFmtId="0" xfId="0" applyAlignment="1" applyFont="1">
      <alignment horizontal="left" shrinkToFit="0" wrapText="0"/>
    </xf>
    <xf borderId="0" fillId="0" fontId="34" numFmtId="0" xfId="0" applyAlignment="1" applyFont="1">
      <alignment horizontal="left" readingOrder="0" shrinkToFit="0" wrapText="0"/>
    </xf>
    <xf borderId="0" fillId="0" fontId="35" numFmtId="0" xfId="0" applyAlignment="1" applyFont="1">
      <alignment readingOrder="0" shrinkToFit="0" wrapText="0"/>
    </xf>
    <xf borderId="0" fillId="0" fontId="35" numFmtId="173" xfId="0" applyAlignment="1" applyFont="1" applyNumberFormat="1">
      <alignment horizontal="left" readingOrder="0" shrinkToFit="0" vertical="bottom" wrapText="0"/>
    </xf>
    <xf borderId="0" fillId="0" fontId="51" numFmtId="0" xfId="0" applyFont="1"/>
    <xf borderId="0" fillId="0" fontId="52" numFmtId="0" xfId="0" applyAlignment="1" applyFont="1">
      <alignment shrinkToFit="0" vertical="bottom" wrapText="0"/>
    </xf>
    <xf borderId="0" fillId="0" fontId="53" numFmtId="0" xfId="0" applyAlignment="1" applyFont="1">
      <alignment horizontal="center" shrinkToFit="0" vertical="bottom" wrapText="0"/>
    </xf>
    <xf borderId="0" fillId="0" fontId="52" numFmtId="0" xfId="0" applyAlignment="1" applyFont="1">
      <alignment readingOrder="0" shrinkToFit="0" wrapText="0"/>
    </xf>
    <xf borderId="0" fillId="0" fontId="53" numFmtId="0" xfId="0" applyAlignment="1" applyFont="1">
      <alignment horizontal="center" shrinkToFit="0" vertical="bottom" wrapText="0"/>
    </xf>
    <xf borderId="0" fillId="0" fontId="52" numFmtId="0" xfId="0" applyAlignment="1" applyFont="1">
      <alignment shrinkToFit="0" vertical="bottom" wrapText="0"/>
    </xf>
    <xf borderId="0" fillId="0" fontId="52" numFmtId="0" xfId="0" applyAlignment="1" applyFont="1">
      <alignment readingOrder="0" shrinkToFit="0" vertical="bottom" wrapText="1"/>
    </xf>
    <xf borderId="0" fillId="0" fontId="52" numFmtId="0" xfId="0" applyAlignment="1" applyFont="1">
      <alignment horizontal="left" readingOrder="0" shrinkToFit="0" vertical="top" wrapText="1"/>
    </xf>
    <xf borderId="0" fillId="0" fontId="52" numFmtId="0" xfId="0" applyAlignment="1" applyFont="1">
      <alignment shrinkToFit="0" wrapText="0"/>
    </xf>
    <xf borderId="0" fillId="0" fontId="52" numFmtId="0" xfId="0" applyAlignment="1" applyFont="1">
      <alignment readingOrder="0" shrinkToFit="0" wrapText="1"/>
    </xf>
    <xf borderId="0" fillId="0" fontId="52" numFmtId="0" xfId="0" applyAlignment="1" applyFont="1">
      <alignment vertical="bottom"/>
    </xf>
    <xf borderId="0" fillId="0" fontId="52" numFmtId="0" xfId="0" applyAlignment="1" applyFont="1">
      <alignment readingOrder="0" vertical="bottom"/>
    </xf>
    <xf borderId="0" fillId="0" fontId="52" numFmtId="0" xfId="0" applyAlignment="1" applyFont="1">
      <alignment horizontal="left" vertical="top"/>
    </xf>
    <xf borderId="0" fillId="0" fontId="53" numFmtId="0" xfId="0" applyAlignment="1" applyFont="1">
      <alignment readingOrder="0" vertical="bottom"/>
    </xf>
    <xf borderId="0" fillId="0" fontId="53" numFmtId="0" xfId="0" applyAlignment="1" applyFont="1">
      <alignment readingOrder="0" shrinkToFit="0" vertical="bottom" wrapText="1"/>
    </xf>
    <xf borderId="0" fillId="0" fontId="52" numFmtId="0" xfId="0" applyAlignment="1" applyFont="1">
      <alignment readingOrder="0" shrinkToFit="0" vertical="bottom" wrapText="0"/>
    </xf>
    <xf borderId="0" fillId="0" fontId="54" numFmtId="0" xfId="0" applyAlignment="1" applyFont="1">
      <alignment horizontal="center" readingOrder="0" shrinkToFit="0" wrapText="0"/>
    </xf>
    <xf borderId="0" fillId="0" fontId="47" numFmtId="0" xfId="0" applyAlignment="1" applyFont="1">
      <alignment horizontal="center" shrinkToFit="0" wrapText="0"/>
    </xf>
    <xf borderId="0" fillId="0" fontId="47" numFmtId="0" xfId="0" applyAlignment="1" applyFont="1">
      <alignment horizontal="left" readingOrder="0" shrinkToFit="0" wrapText="0"/>
    </xf>
    <xf borderId="0" fillId="0" fontId="47" numFmtId="0" xfId="0" applyAlignment="1" applyFont="1">
      <alignment horizontal="center" shrinkToFit="0" wrapText="0"/>
    </xf>
    <xf borderId="0" fillId="0" fontId="21" numFmtId="0" xfId="0" applyAlignment="1" applyFont="1">
      <alignment horizontal="right" shrinkToFit="0" wrapText="0"/>
    </xf>
    <xf borderId="0" fillId="0" fontId="5" numFmtId="0" xfId="0" applyAlignment="1" applyFont="1">
      <alignment horizontal="left" readingOrder="0" shrinkToFit="0" wrapText="0"/>
    </xf>
    <xf borderId="0" fillId="0" fontId="29" numFmtId="0" xfId="0" applyAlignment="1" applyFont="1">
      <alignment horizontal="center" shrinkToFit="0" wrapText="0"/>
    </xf>
    <xf borderId="0" fillId="0" fontId="29" numFmtId="0" xfId="0" applyAlignment="1" applyFont="1">
      <alignment horizontal="left" readingOrder="0" shrinkToFit="0" wrapText="0"/>
    </xf>
    <xf borderId="0" fillId="0" fontId="5" numFmtId="0" xfId="0" applyAlignment="1" applyFont="1">
      <alignment horizontal="right" shrinkToFit="0" wrapText="0"/>
    </xf>
    <xf borderId="0" fillId="0" fontId="29" numFmtId="0" xfId="0" applyAlignment="1" applyFont="1">
      <alignment horizontal="center" shrinkToFit="0" wrapText="0"/>
    </xf>
    <xf borderId="0" fillId="0" fontId="5" numFmtId="49" xfId="0" applyAlignment="1" applyFont="1" applyNumberFormat="1">
      <alignment horizontal="left" shrinkToFit="0" wrapText="0"/>
    </xf>
    <xf borderId="0" fillId="0" fontId="5" numFmtId="0" xfId="0" applyAlignment="1" applyFont="1">
      <alignment horizontal="left" shrinkToFit="0" wrapText="0"/>
    </xf>
    <xf borderId="0" fillId="0" fontId="29" numFmtId="0" xfId="0" applyAlignment="1" applyFont="1">
      <alignment horizontal="left" shrinkToFit="0" wrapText="0"/>
    </xf>
    <xf borderId="0" fillId="0" fontId="21" numFmtId="0" xfId="0" applyAlignment="1" applyFont="1">
      <alignment horizontal="left" shrinkToFit="0" wrapText="0"/>
    </xf>
    <xf borderId="0" fillId="0" fontId="47" numFmtId="0" xfId="0" applyAlignment="1" applyFont="1">
      <alignment horizontal="left" shrinkToFit="0" wrapText="0"/>
    </xf>
    <xf borderId="0" fillId="0" fontId="5" numFmtId="0" xfId="0" applyAlignment="1" applyFont="1">
      <alignment shrinkToFit="0" wrapText="0"/>
    </xf>
    <xf borderId="0" fillId="0" fontId="5" numFmtId="49" xfId="0" applyAlignment="1" applyFont="1" applyNumberFormat="1">
      <alignment horizontal="left" readingOrder="0" shrinkToFit="0" wrapText="0"/>
    </xf>
    <xf borderId="0" fillId="0" fontId="5" numFmtId="0" xfId="0" applyAlignment="1" applyFont="1">
      <alignment readingOrder="0" shrinkToFit="0" wrapText="0"/>
    </xf>
    <xf borderId="0" fillId="0" fontId="5" numFmtId="0" xfId="0" applyAlignment="1" applyFont="1">
      <alignment readingOrder="0"/>
    </xf>
    <xf borderId="0" fillId="0" fontId="5" numFmtId="0" xfId="0" applyAlignment="1" applyFont="1">
      <alignment horizontal="left" readingOrder="0" shrinkToFit="0" wrapText="1"/>
    </xf>
    <xf borderId="0" fillId="0" fontId="5" numFmtId="0" xfId="0" applyAlignment="1" applyFont="1">
      <alignment readingOrder="0" vertical="top"/>
    </xf>
    <xf borderId="0" fillId="0" fontId="5" numFmtId="0" xfId="0" applyAlignment="1" applyFont="1">
      <alignment horizontal="left" readingOrder="0" shrinkToFit="0" vertical="top" wrapText="1"/>
    </xf>
    <xf borderId="0" fillId="0" fontId="5" numFmtId="0" xfId="0" applyAlignment="1" applyFont="1">
      <alignment horizontal="left" readingOrder="0" vertical="top"/>
    </xf>
    <xf borderId="0" fillId="0" fontId="5" numFmtId="0" xfId="0" applyAlignment="1" applyFont="1">
      <alignment horizontal="left" shrinkToFit="0" wrapText="1"/>
    </xf>
    <xf borderId="0" fillId="0" fontId="29" numFmtId="0" xfId="0" applyAlignment="1" applyFont="1">
      <alignment horizontal="left" readingOrder="0" shrinkToFit="0" wrapText="1"/>
    </xf>
    <xf borderId="0" fillId="0" fontId="5" numFmtId="0" xfId="0" applyAlignment="1" applyFont="1">
      <alignment readingOrder="0" shrinkToFit="0" vertical="top" wrapText="1"/>
    </xf>
    <xf borderId="0" fillId="0" fontId="21" numFmtId="0" xfId="0" applyAlignment="1" applyFont="1">
      <alignment horizontal="left" readingOrder="0" shrinkToFit="0" wrapText="1"/>
    </xf>
    <xf borderId="0" fillId="0" fontId="5" numFmtId="0" xfId="0" applyAlignment="1" applyFont="1">
      <alignment shrinkToFit="0" vertical="top" wrapText="1"/>
    </xf>
    <xf borderId="0" fillId="0" fontId="5" numFmtId="0" xfId="0" applyAlignment="1" applyFont="1">
      <alignment horizontal="left" shrinkToFit="0" wrapText="1"/>
    </xf>
    <xf borderId="0" fillId="0" fontId="5" numFmtId="0" xfId="0" applyAlignment="1" applyFont="1">
      <alignment shrinkToFit="0" vertical="top" wrapText="1"/>
    </xf>
    <xf borderId="0" fillId="0" fontId="5" numFmtId="0" xfId="0" applyAlignment="1" applyFont="1">
      <alignment horizontal="left" shrinkToFit="0" wrapText="0"/>
    </xf>
    <xf borderId="0" fillId="0" fontId="5" numFmtId="0" xfId="0" applyAlignment="1" applyFont="1">
      <alignment shrinkToFit="0" wrapText="0"/>
    </xf>
    <xf borderId="15" fillId="0" fontId="5" numFmtId="0" xfId="0" applyAlignment="1" applyBorder="1" applyFont="1">
      <alignment horizontal="left" readingOrder="0" shrinkToFit="0" wrapText="0"/>
    </xf>
    <xf borderId="15" fillId="0" fontId="4" numFmtId="0" xfId="0" applyBorder="1" applyFont="1"/>
    <xf borderId="0" fillId="0" fontId="33" numFmtId="0" xfId="0" applyAlignment="1" applyFont="1">
      <alignment shrinkToFit="0" wrapText="1"/>
    </xf>
    <xf borderId="0" fillId="0" fontId="54" numFmtId="0" xfId="0" applyAlignment="1" applyFont="1">
      <alignment readingOrder="0" shrinkToFit="0" vertical="bottom" wrapText="1"/>
    </xf>
    <xf borderId="0" fillId="0" fontId="6" numFmtId="0" xfId="0" applyAlignment="1" applyFont="1">
      <alignment shrinkToFit="0" vertical="bottom" wrapText="1"/>
    </xf>
    <xf borderId="0" fillId="0" fontId="47" numFmtId="0" xfId="0" applyAlignment="1" applyFont="1">
      <alignment horizontal="center" shrinkToFit="0" wrapText="1"/>
    </xf>
    <xf borderId="0" fillId="0" fontId="6" numFmtId="0" xfId="0" applyAlignment="1" applyFont="1">
      <alignment horizontal="left" shrinkToFit="0" wrapText="1"/>
    </xf>
    <xf borderId="0" fillId="0" fontId="47" numFmtId="0" xfId="0" applyAlignment="1" applyFont="1">
      <alignment horizontal="center" shrinkToFit="0" wrapText="1"/>
    </xf>
    <xf borderId="0" fillId="0" fontId="21" numFmtId="0" xfId="0" applyAlignment="1" applyFont="1">
      <alignment horizontal="right" shrinkToFit="0" wrapText="1"/>
    </xf>
    <xf borderId="0" fillId="0" fontId="21" numFmtId="0" xfId="0" applyAlignment="1" applyFont="1">
      <alignment horizontal="left" readingOrder="0" shrinkToFit="0" wrapText="1"/>
    </xf>
    <xf borderId="0" fillId="0" fontId="29" numFmtId="0" xfId="0" applyAlignment="1" applyFont="1">
      <alignment horizontal="center" shrinkToFit="0" wrapText="1"/>
    </xf>
    <xf borderId="0" fillId="0" fontId="21" numFmtId="0" xfId="0" applyAlignment="1" applyFont="1">
      <alignment readingOrder="0" shrinkToFit="0" vertical="bottom" wrapText="1"/>
    </xf>
    <xf borderId="0" fillId="0" fontId="54" numFmtId="0" xfId="0" applyAlignment="1" applyFont="1">
      <alignment readingOrder="0" shrinkToFit="0" wrapText="1"/>
    </xf>
    <xf borderId="0" fillId="0" fontId="47" numFmtId="0" xfId="0" applyAlignment="1" applyFont="1">
      <alignment horizontal="left" shrinkToFit="0" wrapText="1"/>
    </xf>
    <xf borderId="0" fillId="0" fontId="5" numFmtId="0" xfId="0" applyAlignment="1" applyFont="1">
      <alignment horizontal="right"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21" numFmtId="0" xfId="0" applyAlignment="1" applyFont="1">
      <alignment readingOrder="0" shrinkToFit="0" wrapText="1"/>
    </xf>
    <xf borderId="0" fillId="0" fontId="30" numFmtId="0" xfId="0" applyAlignment="1" applyFont="1">
      <alignment horizontal="left" readingOrder="0" shrinkToFit="0" wrapText="1"/>
    </xf>
    <xf borderId="0" fillId="0" fontId="21" numFmtId="0" xfId="0" applyAlignment="1" applyFont="1">
      <alignment horizontal="left" readingOrder="0" shrinkToFit="0" vertical="top" wrapText="1"/>
    </xf>
    <xf borderId="0" fillId="0" fontId="21" numFmtId="0" xfId="0" applyAlignment="1" applyFont="1">
      <alignment shrinkToFit="0" vertical="bottom" wrapText="1"/>
    </xf>
    <xf borderId="0" fillId="0" fontId="30" numFmtId="0" xfId="0" applyAlignment="1" applyFont="1">
      <alignment readingOrder="0" shrinkToFit="0" vertical="bottom" wrapText="0"/>
    </xf>
    <xf borderId="0" fillId="0" fontId="21" numFmtId="0" xfId="0" applyAlignment="1" applyFont="1">
      <alignment readingOrder="0" shrinkToFit="0" vertical="bottom" wrapText="0"/>
    </xf>
    <xf borderId="0" fillId="0" fontId="6" numFmtId="0" xfId="0" applyAlignment="1" applyFont="1">
      <alignment shrinkToFit="0" vertical="bottom" wrapText="1"/>
    </xf>
    <xf borderId="0" fillId="0" fontId="30" numFmtId="0" xfId="0" applyAlignment="1" applyFont="1">
      <alignment readingOrder="0" shrinkToFit="0" vertical="bottom" wrapText="1"/>
    </xf>
    <xf borderId="0" fillId="0" fontId="35" numFmtId="0" xfId="0" applyAlignment="1" applyFont="1">
      <alignment horizontal="left" shrinkToFit="0" vertical="bottom" wrapText="0"/>
    </xf>
    <xf borderId="0" fillId="0" fontId="35" numFmtId="0" xfId="0" applyAlignment="1" applyFont="1">
      <alignment horizontal="left" shrinkToFit="0" vertical="bottom" wrapText="0"/>
    </xf>
    <xf borderId="0" fillId="0" fontId="36" numFmtId="0" xfId="0" applyAlignment="1" applyFont="1">
      <alignment horizontal="left" readingOrder="0" shrinkToFit="0" wrapText="1"/>
    </xf>
    <xf borderId="0" fillId="0" fontId="35" numFmtId="0" xfId="0" applyAlignment="1" applyFont="1">
      <alignment horizontal="left" shrinkToFit="0" vertical="bottom" wrapText="1"/>
    </xf>
    <xf borderId="0" fillId="0" fontId="35" numFmtId="0" xfId="0" applyAlignment="1" applyFont="1">
      <alignment horizontal="left" readingOrder="0" shrinkToFit="0" vertical="bottom" wrapText="1"/>
    </xf>
    <xf borderId="0" fillId="0" fontId="36" numFmtId="0" xfId="0" applyAlignment="1" applyFont="1">
      <alignment horizontal="left" readingOrder="0" shrinkToFit="0" wrapText="0"/>
    </xf>
    <xf borderId="0" fillId="0" fontId="37" numFmtId="0" xfId="0" applyAlignment="1" applyFont="1">
      <alignment horizontal="left" readingOrder="0" shrinkToFit="0" wrapText="1"/>
    </xf>
    <xf borderId="0" fillId="0" fontId="35" numFmtId="0" xfId="0" applyAlignment="1" applyFont="1">
      <alignment horizontal="left" readingOrder="0" shrinkToFit="0" vertical="top" wrapText="1"/>
    </xf>
    <xf borderId="0" fillId="0" fontId="33" numFmtId="0" xfId="0" applyAlignment="1" applyFont="1">
      <alignment readingOrder="0"/>
    </xf>
    <xf borderId="0" fillId="0" fontId="33" numFmtId="0" xfId="0" applyAlignment="1" applyFont="1">
      <alignment horizontal="left" readingOrder="0" shrinkToFit="0" vertical="top" wrapText="1"/>
    </xf>
    <xf borderId="0" fillId="0" fontId="37" numFmtId="0" xfId="0" applyAlignment="1" applyFont="1">
      <alignment horizontal="left" shrinkToFit="0" wrapText="1"/>
    </xf>
    <xf borderId="0" fillId="0" fontId="33" numFmtId="0" xfId="0" applyAlignment="1" applyFont="1">
      <alignment horizontal="left" shrinkToFit="0" wrapText="1"/>
    </xf>
    <xf borderId="0" fillId="0" fontId="55" numFmtId="0" xfId="0" applyAlignment="1" applyFont="1">
      <alignment horizontal="center" readingOrder="0" shrinkToFit="0" vertical="bottom" wrapText="0"/>
    </xf>
    <xf borderId="0" fillId="0" fontId="55" numFmtId="0" xfId="0" applyAlignment="1" applyFont="1">
      <alignment shrinkToFit="0" vertical="bottom" wrapText="0"/>
    </xf>
    <xf borderId="0" fillId="0" fontId="55" numFmtId="0" xfId="0" applyAlignment="1" applyFont="1">
      <alignment shrinkToFit="0" vertical="bottom" wrapText="0"/>
    </xf>
    <xf borderId="0" fillId="0" fontId="55" numFmtId="0" xfId="0" applyAlignment="1" applyFont="1">
      <alignment readingOrder="0" shrinkToFit="0" wrapText="0"/>
    </xf>
    <xf borderId="0" fillId="0" fontId="56" numFmtId="0" xfId="0" applyAlignment="1" applyFont="1">
      <alignment readingOrder="0" shrinkToFit="0" wrapText="0"/>
    </xf>
    <xf borderId="0" fillId="0" fontId="56" numFmtId="0" xfId="0" applyAlignment="1" applyFont="1">
      <alignment readingOrder="0" shrinkToFit="0" vertical="top" wrapText="0"/>
    </xf>
    <xf borderId="0" fillId="0" fontId="55" numFmtId="0" xfId="0" applyAlignment="1" applyFont="1">
      <alignment readingOrder="0" shrinkToFit="0" vertical="bottom" wrapText="1"/>
    </xf>
    <xf borderId="0" fillId="0" fontId="55" numFmtId="0" xfId="0" applyAlignment="1" applyFont="1">
      <alignment horizontal="left" shrinkToFit="0" wrapText="0"/>
    </xf>
    <xf borderId="0" fillId="0" fontId="55" numFmtId="0" xfId="0" applyAlignment="1" applyFont="1">
      <alignment readingOrder="0" shrinkToFit="0" vertical="bottom" wrapText="0"/>
    </xf>
    <xf borderId="0" fillId="0" fontId="57" numFmtId="0" xfId="0" applyAlignment="1" applyFont="1">
      <alignment readingOrder="0" shrinkToFit="0" vertical="bottom" wrapText="0"/>
    </xf>
    <xf borderId="0" fillId="0" fontId="55" numFmtId="173" xfId="0" applyAlignment="1" applyFont="1" applyNumberFormat="1">
      <alignment shrinkToFit="0" vertical="bottom" wrapText="0"/>
    </xf>
    <xf borderId="0" fillId="0" fontId="56" numFmtId="0" xfId="0" applyAlignment="1" applyFont="1">
      <alignment readingOrder="0" shrinkToFit="0" vertical="bottom" wrapText="0"/>
    </xf>
    <xf borderId="0" fillId="0" fontId="56" numFmtId="14" xfId="0" applyAlignment="1" applyFont="1" applyNumberFormat="1">
      <alignment horizontal="left" readingOrder="0" shrinkToFit="0" vertical="bottom" wrapText="0"/>
    </xf>
    <xf borderId="0" fillId="0" fontId="56" numFmtId="0" xfId="0" applyAlignment="1" applyFont="1">
      <alignment horizontal="left" readingOrder="0" shrinkToFit="0" vertical="bottom" wrapText="0"/>
    </xf>
    <xf borderId="0" fillId="0" fontId="55" numFmtId="0" xfId="0" applyAlignment="1" applyFont="1">
      <alignment readingOrder="0" shrinkToFit="0" vertical="top" wrapText="0"/>
    </xf>
    <xf borderId="0" fillId="0" fontId="55" numFmtId="0" xfId="0" applyAlignment="1" applyFont="1">
      <alignment readingOrder="0" shrinkToFit="0" vertical="top" wrapText="1"/>
    </xf>
    <xf borderId="0" fillId="0" fontId="58" numFmtId="0" xfId="0" applyAlignment="1" applyFont="1">
      <alignment readingOrder="0" shrinkToFit="0" vertical="bottom" wrapText="0"/>
    </xf>
    <xf borderId="0" fillId="0" fontId="59" numFmtId="0" xfId="0" applyAlignment="1" applyFont="1">
      <alignment readingOrder="0" shrinkToFit="0" vertical="bottom" wrapText="0"/>
    </xf>
    <xf borderId="0" fillId="0" fontId="55" numFmtId="0" xfId="0" applyAlignment="1" applyFont="1">
      <alignment horizontal="left" readingOrder="0" shrinkToFit="0" vertical="top" wrapText="1"/>
    </xf>
    <xf borderId="0" fillId="0" fontId="55" numFmtId="0" xfId="0" applyAlignment="1" applyFont="1">
      <alignment horizontal="right" readingOrder="0" shrinkToFit="0" vertical="top" wrapText="0"/>
    </xf>
    <xf borderId="0" fillId="0" fontId="60" numFmtId="0" xfId="0" applyAlignment="1" applyFont="1">
      <alignment horizontal="left" readingOrder="0" shrinkToFit="0" vertical="top" wrapText="1"/>
    </xf>
    <xf borderId="2" fillId="0" fontId="56" numFmtId="0" xfId="0" applyAlignment="1" applyBorder="1" applyFont="1">
      <alignment readingOrder="0" shrinkToFit="0" vertical="bottom" wrapText="0"/>
    </xf>
    <xf borderId="0" fillId="0" fontId="61" numFmtId="0" xfId="0" applyAlignment="1" applyFont="1">
      <alignment horizontal="center" readingOrder="0"/>
    </xf>
    <xf borderId="0" fillId="0" fontId="1" numFmtId="0" xfId="0" applyAlignment="1" applyFont="1">
      <alignment readingOrder="0"/>
    </xf>
    <xf borderId="10" fillId="7" fontId="1" numFmtId="0" xfId="0" applyAlignment="1" applyBorder="1" applyFont="1">
      <alignment horizontal="center"/>
    </xf>
    <xf borderId="0" fillId="7" fontId="1" numFmtId="0" xfId="0" applyFont="1"/>
    <xf borderId="0" fillId="7" fontId="62" numFmtId="0" xfId="0" applyAlignment="1" applyFont="1">
      <alignment readingOrder="0" vertical="top"/>
    </xf>
    <xf borderId="0" fillId="0" fontId="1" numFmtId="49" xfId="0" applyAlignment="1" applyFont="1" applyNumberFormat="1">
      <alignment readingOrder="0"/>
    </xf>
    <xf borderId="10" fillId="7" fontId="1" numFmtId="0" xfId="0" applyAlignment="1" applyBorder="1" applyFont="1">
      <alignment horizontal="center" readingOrder="0"/>
    </xf>
    <xf borderId="0" fillId="0" fontId="6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0" xfId="0" applyAlignment="1" applyFont="1">
      <alignment readingOrder="0" shrinkToFit="0" vertical="top" wrapText="1"/>
    </xf>
    <xf borderId="0" fillId="0" fontId="1" numFmtId="164" xfId="0" applyAlignment="1" applyFont="1" applyNumberFormat="1">
      <alignment horizontal="center" readingOrder="0" vertical="top"/>
    </xf>
    <xf borderId="0" fillId="0" fontId="2" numFmtId="0" xfId="0" applyAlignment="1" applyFont="1">
      <alignment readingOrder="0" shrinkToFit="0" wrapText="1"/>
    </xf>
    <xf borderId="0" fillId="0" fontId="2" numFmtId="0" xfId="0" applyAlignment="1" applyFont="1">
      <alignment readingOrder="0"/>
    </xf>
    <xf borderId="0" fillId="0" fontId="63" numFmtId="0" xfId="0" applyAlignment="1" applyFont="1">
      <alignment horizontal="left" readingOrder="0" vertical="top"/>
    </xf>
    <xf borderId="0" fillId="0" fontId="64" numFmtId="0" xfId="0" applyAlignment="1" applyFont="1">
      <alignment horizontal="left" readingOrder="0" vertical="top"/>
    </xf>
    <xf borderId="0" fillId="0" fontId="64" numFmtId="0" xfId="0" applyAlignment="1" applyFont="1">
      <alignment horizontal="left" vertical="top"/>
    </xf>
    <xf borderId="0" fillId="0" fontId="64" numFmtId="0" xfId="0" applyAlignment="1" applyFont="1">
      <alignment horizontal="center" readingOrder="0" vertical="top"/>
    </xf>
    <xf borderId="0" fillId="0" fontId="65" numFmtId="0" xfId="0" applyAlignment="1" applyFont="1">
      <alignment horizontal="left"/>
    </xf>
    <xf borderId="0" fillId="0" fontId="64" numFmtId="0" xfId="0" applyAlignment="1" applyFont="1">
      <alignment horizontal="right" readingOrder="0" vertical="top"/>
    </xf>
    <xf borderId="0" fillId="0" fontId="66" numFmtId="9" xfId="0" applyAlignment="1" applyFont="1" applyNumberFormat="1">
      <alignment horizontal="center" readingOrder="0" shrinkToFit="0" vertical="top" wrapText="0"/>
    </xf>
    <xf borderId="0" fillId="0" fontId="66" numFmtId="9" xfId="0" applyAlignment="1" applyFont="1" applyNumberFormat="1">
      <alignment horizontal="left" readingOrder="0" shrinkToFit="0" vertical="top" wrapText="0"/>
    </xf>
    <xf borderId="0" fillId="0" fontId="67" numFmtId="0" xfId="0" applyAlignment="1" applyFont="1">
      <alignment horizontal="left" readingOrder="0" vertical="top"/>
    </xf>
    <xf borderId="0" fillId="0" fontId="68" numFmtId="0" xfId="0" applyAlignment="1" applyFont="1">
      <alignment horizontal="right" readingOrder="0" shrinkToFit="0" vertical="top" wrapText="0"/>
    </xf>
    <xf borderId="0" fillId="0" fontId="68" numFmtId="0" xfId="0" applyAlignment="1" applyFont="1">
      <alignment horizontal="center" readingOrder="0" shrinkToFit="0" vertical="top" wrapText="0"/>
    </xf>
    <xf borderId="0" fillId="0" fontId="68" numFmtId="0" xfId="0" applyAlignment="1" applyFont="1">
      <alignment horizontal="left" readingOrder="0" shrinkToFit="0" vertical="top" wrapText="0"/>
    </xf>
    <xf borderId="0" fillId="0" fontId="11" numFmtId="0" xfId="0" applyAlignment="1" applyFont="1">
      <alignment horizontal="right" readingOrder="0" shrinkToFit="0" vertical="bottom" wrapText="0"/>
    </xf>
    <xf borderId="16" fillId="7" fontId="69" numFmtId="0" xfId="0" applyAlignment="1" applyBorder="1" applyFont="1">
      <alignment readingOrder="0" vertical="top"/>
    </xf>
    <xf borderId="0" fillId="8" fontId="70" numFmtId="0" xfId="0" applyAlignment="1" applyFill="1" applyFont="1">
      <alignment readingOrder="0" shrinkToFit="0" vertical="bottom" wrapText="0"/>
    </xf>
    <xf borderId="0" fillId="8" fontId="70" numFmtId="49" xfId="0" applyAlignment="1" applyFont="1" applyNumberFormat="1">
      <alignment readingOrder="0" shrinkToFit="0" vertical="bottom" wrapText="0"/>
    </xf>
    <xf borderId="0" fillId="0" fontId="38" numFmtId="0" xfId="0" applyAlignment="1" applyFont="1">
      <alignment readingOrder="0" shrinkToFit="0" vertical="bottom" wrapText="0"/>
    </xf>
    <xf borderId="0" fillId="0" fontId="38" numFmtId="174" xfId="0" applyAlignment="1" applyFont="1" applyNumberFormat="1">
      <alignment readingOrder="0" shrinkToFit="0" vertical="bottom" wrapText="0"/>
    </xf>
    <xf quotePrefix="1" borderId="0" fillId="0" fontId="38" numFmtId="0" xfId="0" applyAlignment="1" applyFont="1">
      <alignment readingOrder="0" shrinkToFit="0" vertical="bottom" wrapText="0"/>
    </xf>
    <xf quotePrefix="1" borderId="0" fillId="0" fontId="38" numFmtId="49" xfId="0" applyAlignment="1" applyFont="1" applyNumberFormat="1">
      <alignment readingOrder="0" shrinkToFit="0" vertical="bottom" wrapText="0"/>
    </xf>
    <xf borderId="0" fillId="0" fontId="38" numFmtId="49" xfId="0" applyAlignment="1" applyFont="1" applyNumberFormat="1">
      <alignment readingOrder="0" shrinkToFit="0" vertical="bottom" wrapText="0"/>
    </xf>
    <xf borderId="0" fillId="0" fontId="38" numFmtId="49" xfId="0" applyAlignment="1" applyFont="1" applyNumberFormat="1">
      <alignment shrinkToFit="0" vertical="bottom" wrapText="0"/>
    </xf>
    <xf borderId="0" fillId="0" fontId="71" numFmtId="0" xfId="0" applyAlignment="1" applyFont="1">
      <alignment readingOrder="0" shrinkToFit="0" vertical="bottom" wrapText="0"/>
    </xf>
    <xf borderId="0" fillId="0" fontId="1" numFmtId="175"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shrinkToFit="0"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B7E1CD"/>
          <bgColor rgb="FFB7E1CD"/>
        </patternFill>
      </fill>
      <border/>
    </dxf>
  </dxfs>
  <tableStyles count="3">
    <tableStyle count="4" pivot="0" name="Employee-style">
      <tableStyleElement dxfId="1" type="headerRow"/>
      <tableStyleElement dxfId="2" type="firstRowStripe"/>
      <tableStyleElement dxfId="3" type="secondRowStripe"/>
      <tableStyleElement dxfId="4" size="0" type="wholeTable"/>
    </tableStyle>
    <tableStyle count="3" pivot="0" name="KIWA-style">
      <tableStyleElement dxfId="5" type="headerRow"/>
      <tableStyleElement dxfId="2" type="firstRowStripe"/>
      <tableStyleElement dxfId="6" type="secondRowStripe"/>
    </tableStyle>
    <tableStyle count="3" pivot="0" name="KIWA-style 2">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18</xdr:row>
      <xdr:rowOff>76200</xdr:rowOff>
    </xdr:from>
    <xdr:ext cx="1866900" cy="428625"/>
    <xdr:grpSp>
      <xdr:nvGrpSpPr>
        <xdr:cNvPr id="2" name="Shape 2" title="Drawing"/>
        <xdr:cNvGrpSpPr/>
      </xdr:nvGrpSpPr>
      <xdr:grpSpPr>
        <a:xfrm>
          <a:off x="1867775" y="1360225"/>
          <a:ext cx="2243400" cy="497400"/>
          <a:chOff x="1867775" y="1360225"/>
          <a:chExt cx="2243400" cy="497400"/>
        </a:xfrm>
      </xdr:grpSpPr>
      <xdr:sp>
        <xdr:nvSpPr>
          <xdr:cNvPr id="3" name="Shape 3"/>
          <xdr:cNvSpPr/>
        </xdr:nvSpPr>
        <xdr:spPr>
          <a:xfrm>
            <a:off x="1867775" y="1360225"/>
            <a:ext cx="2243400" cy="497400"/>
          </a:xfrm>
          <a:prstGeom prst="roundRect">
            <a:avLst>
              <a:gd fmla="val 16667" name="adj"/>
            </a:avLst>
          </a:prstGeom>
          <a:solidFill>
            <a:srgbClr val="1C458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2415925" y="1408825"/>
            <a:ext cx="1634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Submit Employee</a:t>
            </a:r>
            <a:endParaRPr sz="1400">
              <a:solidFill>
                <a:srgbClr val="FFFFFF"/>
              </a:solidFill>
            </a:endParaRPr>
          </a:p>
        </xdr:txBody>
      </xdr:sp>
      <xdr:sp>
        <xdr:nvSpPr>
          <xdr:cNvPr id="5" name="Shape 5"/>
          <xdr:cNvSpPr/>
        </xdr:nvSpPr>
        <xdr:spPr>
          <a:xfrm>
            <a:off x="1969300" y="1408826"/>
            <a:ext cx="385722" cy="400194"/>
          </a:xfrm>
          <a:prstGeom prst="flowChartMultidocumen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7</xdr:col>
      <xdr:colOff>2047875</xdr:colOff>
      <xdr:row>1</xdr:row>
      <xdr:rowOff>9525</xdr:rowOff>
    </xdr:from>
    <xdr:ext cx="1390650" cy="504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304800</xdr:colOff>
      <xdr:row>0</xdr:row>
      <xdr:rowOff>9525</xdr:rowOff>
    </xdr:from>
    <xdr:ext cx="1533525" cy="542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T8" displayName="Employee" name="Employee" id="1">
  <tableColumns count="20">
    <tableColumn name="Name" id="1"/>
    <tableColumn name="Salutation" id="2"/>
    <tableColumn name="Initials" id="3"/>
    <tableColumn name="Last Name" id="4"/>
    <tableColumn name="Address/Street" id="5"/>
    <tableColumn name="Postal Code/City" id="6"/>
    <tableColumn name="Country" id="7"/>
    <tableColumn name="Telephone" id="8"/>
    <tableColumn name="Email" id="9"/>
    <tableColumn name="KIWA" id="10"/>
    <tableColumn name="BSN" id="11"/>
    <tableColumn name="Bank account" id="12"/>
    <tableColumn name="Date of birth" id="13"/>
    <tableColumn name="Employment date" id="14"/>
    <tableColumn name="Contract duration" id="15"/>
    <tableColumn name="ContractEndDate" id="16"/>
    <tableColumn name="Probationary period" id="17"/>
    <tableColumn name="Hourly wage" id="18"/>
    <tableColumn name="Working hours" id="19"/>
    <tableColumn name="Position" id="20"/>
  </tableColumns>
  <tableStyleInfo name="Employee-style" showColumnStripes="0" showFirstColumn="1" showLastColumn="1" showRowStripes="1"/>
</table>
</file>

<file path=xl/tables/table2.xml><?xml version="1.0" encoding="utf-8"?>
<table xmlns="http://schemas.openxmlformats.org/spreadsheetml/2006/main" headerRowCount="0" ref="B4:J5" displayName="Table_1" name="Table_1"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KIWA-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14:K14" displayName="Table_2" name="Table_2"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KIWA-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c-routes.nl/" TargetMode="External"/><Relationship Id="rId2" Type="http://schemas.openxmlformats.org/officeDocument/2006/relationships/hyperlink" Target="https://routeboek-prd-we-driver.azurewebsites.net/" TargetMode="External"/><Relationship Id="rId3" Type="http://schemas.openxmlformats.org/officeDocument/2006/relationships/hyperlink" Target="https://www.werkenbijplus.nl/PlusRoutes/StoreList.aspx"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c-routes.nl/" TargetMode="External"/><Relationship Id="rId2" Type="http://schemas.openxmlformats.org/officeDocument/2006/relationships/hyperlink" Target="https://routeboek-prd-we-driver.azurewebsites.net/" TargetMode="External"/><Relationship Id="rId3" Type="http://schemas.openxmlformats.org/officeDocument/2006/relationships/hyperlink" Target="https://www.werkenbijplus.nl/PlusRoutes/StoreList.aspx"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c-routes.nl/" TargetMode="External"/><Relationship Id="rId2" Type="http://schemas.openxmlformats.org/officeDocument/2006/relationships/hyperlink" Target="https://routeboek-prd-we-driver.azurewebsites.net/" TargetMode="External"/><Relationship Id="rId3" Type="http://schemas.openxmlformats.org/officeDocument/2006/relationships/hyperlink" Target="https://www.werkenbijplus.nl/PlusRoutes/StoreList.aspx"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bu.nl/app/uploads/2024/12/ABU-CAO-Uitzendkrachten-2024.pdf"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2.xml"/><Relationship Id="rId5"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loonshop.nl" TargetMode="External"/><Relationship Id="rId2"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6.88"/>
    <col customWidth="1" min="3" max="3" width="14.75"/>
    <col customWidth="1" min="4" max="4" width="27.75"/>
    <col customWidth="1" min="5" max="5" width="2.13"/>
    <col customWidth="1" min="6" max="6" width="6.75"/>
    <col customWidth="1" min="7" max="7" width="15.38"/>
    <col customWidth="1" min="8" max="8" width="29.13"/>
    <col customWidth="1" min="9" max="9" width="3.25"/>
    <col customWidth="1" min="10" max="10" width="11.63"/>
    <col customWidth="1" min="11" max="11" width="1.75"/>
  </cols>
  <sheetData>
    <row r="1">
      <c r="C1" s="1" t="str">
        <f>FillIn!H4</f>
        <v>DeNeX Uitzendbureau B.V.</v>
      </c>
      <c r="J1" s="2"/>
    </row>
    <row r="2" ht="42.75" customHeight="1">
      <c r="C2" s="3" t="s">
        <v>0</v>
      </c>
      <c r="D2" s="4"/>
      <c r="E2" s="4"/>
      <c r="F2" s="4"/>
      <c r="G2" s="4"/>
      <c r="H2" s="4"/>
      <c r="I2" s="4"/>
      <c r="J2" s="4"/>
      <c r="K2" s="5"/>
    </row>
    <row r="3">
      <c r="C3" s="6"/>
      <c r="D3" s="7"/>
      <c r="E3" s="7"/>
      <c r="F3" s="7"/>
      <c r="G3" s="7"/>
      <c r="H3" s="7"/>
      <c r="I3" s="7"/>
      <c r="J3" s="8"/>
      <c r="K3" s="9"/>
    </row>
    <row r="4">
      <c r="C4" s="10" t="s">
        <v>1</v>
      </c>
      <c r="D4" s="11"/>
      <c r="E4" s="12" t="str">
        <f>IF(D4="dhr.","de heer","mevrouw")</f>
        <v>mevrouw</v>
      </c>
      <c r="F4" s="13"/>
      <c r="G4" s="14" t="s">
        <v>2</v>
      </c>
      <c r="H4" s="11"/>
      <c r="I4" s="15" t="str">
        <f>UPPER(H4)</f>
        <v/>
      </c>
      <c r="J4" s="16"/>
      <c r="K4" s="9"/>
      <c r="L4" s="17"/>
    </row>
    <row r="5" ht="7.5" customHeight="1">
      <c r="C5" s="18"/>
      <c r="D5" s="19"/>
      <c r="E5" s="20"/>
      <c r="F5" s="13"/>
      <c r="G5" s="21"/>
      <c r="H5" s="19"/>
      <c r="I5" s="7"/>
      <c r="J5" s="8"/>
      <c r="K5" s="9"/>
    </row>
    <row r="6">
      <c r="C6" s="10" t="s">
        <v>3</v>
      </c>
      <c r="D6" s="11"/>
      <c r="E6" s="22" t="str">
        <f>UPPER(SUBSTITUTE(SUBSTITUTE(SUBSTITUTE(MID(SUBSTITUTE(D6,".",""),1,1)&amp;"."&amp;MID(SUBSTITUTE(D6,".",""),2,1)&amp;"."&amp;MID(SUBSTITUTE(D6,".",""),3,1)&amp;"."&amp;MID(SUBSTITUTE(D6,".",""),4,1)&amp;".","....","."),"...","."),"..","."))</f>
        <v>.</v>
      </c>
      <c r="F6" s="13"/>
      <c r="G6" s="14" t="s">
        <v>4</v>
      </c>
      <c r="H6" s="23"/>
      <c r="I6" s="7"/>
      <c r="J6" s="8"/>
      <c r="K6" s="9"/>
    </row>
    <row r="7" ht="7.5" customHeight="1">
      <c r="C7" s="18"/>
      <c r="D7" s="19"/>
      <c r="E7" s="20"/>
      <c r="F7" s="13"/>
      <c r="G7" s="21"/>
      <c r="H7" s="19"/>
      <c r="I7" s="7"/>
      <c r="J7" s="8"/>
      <c r="K7" s="9"/>
    </row>
    <row r="8">
      <c r="C8" s="10" t="s">
        <v>5</v>
      </c>
      <c r="D8" s="11"/>
      <c r="E8" s="12" t="str">
        <f>D4&amp;" "&amp;E6&amp;" "&amp;PROPER(D8)</f>
        <v> . </v>
      </c>
      <c r="G8" s="14" t="s">
        <v>6</v>
      </c>
      <c r="H8" s="24"/>
      <c r="I8" s="15" t="str">
        <f>PROPER(D8)</f>
        <v/>
      </c>
      <c r="J8" s="8"/>
      <c r="K8" s="9"/>
    </row>
    <row r="9" ht="7.5" customHeight="1">
      <c r="C9" s="18"/>
      <c r="D9" s="19"/>
      <c r="E9" s="20"/>
      <c r="F9" s="13"/>
      <c r="G9" s="21"/>
      <c r="H9" s="19"/>
      <c r="I9" s="7"/>
      <c r="J9" s="8"/>
      <c r="K9" s="9"/>
    </row>
    <row r="10">
      <c r="C10" s="10" t="s">
        <v>7</v>
      </c>
      <c r="D10" s="25"/>
      <c r="E10" s="12" t="str">
        <f>IF(J10="month",H10,IF(J10="year",H10*12,ROUND(H10/4,2)))</f>
        <v/>
      </c>
      <c r="F10" s="13" t="str">
        <f>E10&amp;" maanden"</f>
        <v> maanden</v>
      </c>
      <c r="G10" s="14" t="s">
        <v>8</v>
      </c>
      <c r="H10" s="26"/>
      <c r="I10" s="15" t="str">
        <f>PROPER(D10)</f>
        <v/>
      </c>
      <c r="J10" s="27" t="s">
        <v>9</v>
      </c>
      <c r="K10" s="9"/>
      <c r="O10" s="1" t="str">
        <f t="shared" ref="O10:O12" si="1">E10</f>
        <v/>
      </c>
    </row>
    <row r="11" ht="7.5" customHeight="1">
      <c r="C11" s="18"/>
      <c r="D11" s="19"/>
      <c r="E11" s="20"/>
      <c r="F11" s="13"/>
      <c r="G11" s="21"/>
      <c r="H11" s="19"/>
      <c r="I11" s="7"/>
      <c r="J11" s="28"/>
      <c r="K11" s="9"/>
      <c r="O11" s="1" t="str">
        <f t="shared" si="1"/>
        <v/>
      </c>
    </row>
    <row r="12">
      <c r="C12" s="10" t="s">
        <v>10</v>
      </c>
      <c r="D12" s="25"/>
      <c r="E12" s="29">
        <f>IF(J12="month",H12,IF(J12="year",H12*12,ROUND(H12/4,2)))</f>
        <v>1</v>
      </c>
      <c r="F12" s="12"/>
      <c r="G12" s="14" t="s">
        <v>11</v>
      </c>
      <c r="H12" s="26">
        <v>1.0</v>
      </c>
      <c r="I12" s="15" t="str">
        <f>IF(E12&gt;1,E12&amp;" maanden"," maand")</f>
        <v> maand</v>
      </c>
      <c r="J12" s="27" t="s">
        <v>9</v>
      </c>
      <c r="K12" s="9"/>
      <c r="O12" s="17">
        <f t="shared" si="1"/>
        <v>1</v>
      </c>
    </row>
    <row r="13" ht="7.5" customHeight="1">
      <c r="C13" s="18"/>
      <c r="D13" s="19"/>
      <c r="E13" s="30"/>
      <c r="F13" s="31"/>
      <c r="G13" s="21"/>
      <c r="H13" s="19"/>
      <c r="I13" s="7"/>
      <c r="J13" s="8"/>
      <c r="K13" s="9"/>
    </row>
    <row r="14">
      <c r="C14" s="10" t="s">
        <v>12</v>
      </c>
      <c r="D14" s="11"/>
      <c r="E14" s="32">
        <f>EDATE(H8,H10)-1</f>
        <v>-1</v>
      </c>
      <c r="F14" s="13" t="str">
        <f>UPPER(IF(LEFT(D14,1)="b","Bulgarije",IF(LEFT(D14,1)="n","Nederland",D14)))</f>
        <v/>
      </c>
      <c r="G14" s="14" t="s">
        <v>13</v>
      </c>
      <c r="H14" s="11" t="s">
        <v>14</v>
      </c>
      <c r="I14" s="7"/>
      <c r="J14" s="8"/>
      <c r="K14" s="9"/>
    </row>
    <row r="15" ht="7.5" customHeight="1">
      <c r="C15" s="18"/>
      <c r="D15" s="33"/>
      <c r="E15" s="20"/>
      <c r="F15" s="13"/>
      <c r="G15" s="21"/>
      <c r="H15" s="19"/>
      <c r="I15" s="7"/>
      <c r="J15" s="8"/>
      <c r="K15" s="9"/>
    </row>
    <row r="16">
      <c r="C16" s="10" t="s">
        <v>15</v>
      </c>
      <c r="D16" s="34"/>
      <c r="E16" s="12" t="str">
        <f>H16&amp;" uur "&amp;J16</f>
        <v>40 uur per week</v>
      </c>
      <c r="G16" s="14" t="s">
        <v>16</v>
      </c>
      <c r="H16" s="26">
        <v>40.0</v>
      </c>
      <c r="I16" s="35" t="s">
        <v>17</v>
      </c>
      <c r="J16" s="36" t="s">
        <v>18</v>
      </c>
      <c r="K16" s="9"/>
    </row>
    <row r="17" ht="7.5" customHeight="1">
      <c r="C17" s="18"/>
      <c r="D17" s="19"/>
      <c r="E17" s="37"/>
      <c r="F17" s="31"/>
      <c r="G17" s="21"/>
      <c r="H17" s="19"/>
      <c r="I17" s="7"/>
      <c r="J17" s="8"/>
      <c r="K17" s="9"/>
    </row>
    <row r="18">
      <c r="C18" s="10" t="s">
        <v>19</v>
      </c>
      <c r="D18" s="38"/>
      <c r="E18" s="37"/>
      <c r="F18" s="31"/>
      <c r="G18" s="14" t="s">
        <v>20</v>
      </c>
      <c r="H18" s="11" t="s">
        <v>21</v>
      </c>
      <c r="I18" s="15" t="str">
        <f>PROPER(H18)</f>
        <v>Driver</v>
      </c>
      <c r="J18" s="8"/>
      <c r="K18" s="9"/>
      <c r="M18" s="1" t="str">
        <f>E18</f>
        <v/>
      </c>
    </row>
    <row r="19" ht="7.5" customHeight="1">
      <c r="C19" s="18"/>
      <c r="D19" s="19"/>
      <c r="E19" s="31"/>
      <c r="F19" s="31"/>
      <c r="G19" s="19"/>
      <c r="H19" s="19"/>
      <c r="I19" s="7"/>
      <c r="J19" s="8"/>
      <c r="K19" s="9"/>
    </row>
    <row r="20">
      <c r="C20" s="10" t="s">
        <v>22</v>
      </c>
      <c r="D20" s="39"/>
      <c r="E20" s="31"/>
      <c r="F20" s="31"/>
      <c r="G20" s="19"/>
      <c r="H20" s="19"/>
      <c r="I20" s="7"/>
      <c r="J20" s="8"/>
      <c r="K20" s="9"/>
      <c r="M20" s="1" t="str">
        <f>E20</f>
        <v/>
      </c>
    </row>
    <row r="21" ht="7.5" customHeight="1">
      <c r="C21" s="18"/>
      <c r="D21" s="19"/>
      <c r="E21" s="31"/>
      <c r="F21" s="31"/>
      <c r="G21" s="19"/>
      <c r="H21" s="19"/>
      <c r="I21" s="7"/>
      <c r="J21" s="8"/>
      <c r="K21" s="9"/>
    </row>
    <row r="22">
      <c r="C22" s="10" t="s">
        <v>23</v>
      </c>
      <c r="D22" s="25"/>
      <c r="E22" s="31"/>
      <c r="F22" s="31"/>
      <c r="G22" s="40"/>
      <c r="H22" s="19"/>
      <c r="I22" s="7"/>
      <c r="J22" s="8"/>
      <c r="K22" s="9"/>
      <c r="M22" s="1" t="str">
        <f>E22</f>
        <v/>
      </c>
    </row>
    <row r="23">
      <c r="C23" s="41"/>
      <c r="D23" s="42"/>
      <c r="E23" s="42"/>
      <c r="F23" s="42"/>
      <c r="G23" s="42"/>
      <c r="H23" s="42"/>
      <c r="I23" s="42"/>
      <c r="J23" s="43"/>
      <c r="K23" s="44"/>
    </row>
    <row r="24">
      <c r="J24" s="2"/>
    </row>
    <row r="25">
      <c r="J25" s="2"/>
    </row>
    <row r="26">
      <c r="C26" s="45" t="s">
        <v>24</v>
      </c>
      <c r="D26" s="4"/>
      <c r="E26" s="4"/>
      <c r="F26" s="4"/>
      <c r="G26" s="5"/>
    </row>
    <row r="27">
      <c r="C27" s="6"/>
      <c r="D27" s="7"/>
      <c r="E27" s="7"/>
      <c r="F27" s="12"/>
      <c r="G27" s="46"/>
    </row>
    <row r="28">
      <c r="C28" s="10" t="s">
        <v>1</v>
      </c>
      <c r="D28" s="11"/>
      <c r="E28" s="12" t="str">
        <f>IF(D28="dhr.","de heer","mevrouw")</f>
        <v>mevrouw</v>
      </c>
      <c r="F28" s="12"/>
      <c r="G28" s="46"/>
    </row>
    <row r="29">
      <c r="C29" s="18"/>
      <c r="D29" s="19"/>
      <c r="E29" s="20"/>
      <c r="F29" s="12"/>
      <c r="G29" s="46"/>
    </row>
    <row r="30">
      <c r="C30" s="10" t="s">
        <v>3</v>
      </c>
      <c r="D30" s="11"/>
      <c r="E30" s="22" t="str">
        <f>UPPER(SUBSTITUTE(SUBSTITUTE(SUBSTITUTE(MID(SUBSTITUTE(D30,".",""),1,1)&amp;"."&amp;MID(SUBSTITUTE(D30,".",""),2,1)&amp;"."&amp;MID(SUBSTITUTE(D30,".",""),3,1)&amp;"."&amp;MID(SUBSTITUTE(D30,".",""),4,1)&amp;".","....","."),"...","."),"..","."))</f>
        <v>.</v>
      </c>
      <c r="F30" s="12"/>
      <c r="G30" s="46"/>
    </row>
    <row r="31">
      <c r="C31" s="18"/>
      <c r="D31" s="19"/>
      <c r="E31" s="20"/>
      <c r="F31" s="12"/>
      <c r="G31" s="46"/>
    </row>
    <row r="32">
      <c r="C32" s="10" t="s">
        <v>5</v>
      </c>
      <c r="D32" s="11"/>
      <c r="E32" s="12" t="str">
        <f>D28&amp;" "&amp;E30&amp;" "&amp;PROPER(D32)</f>
        <v> . </v>
      </c>
      <c r="F32" s="12"/>
      <c r="G32" s="46"/>
    </row>
    <row r="33">
      <c r="C33" s="18"/>
      <c r="D33" s="19"/>
      <c r="E33" s="20"/>
      <c r="F33" s="13"/>
      <c r="G33" s="46"/>
    </row>
    <row r="34">
      <c r="C34" s="10" t="s">
        <v>7</v>
      </c>
      <c r="D34" s="25"/>
      <c r="E34" s="12" t="str">
        <f>IF(F57="month",D57,IF(F57="year",D57*12,ROUND(D57/4,2)))</f>
        <v/>
      </c>
      <c r="F34" s="13" t="str">
        <f>E34&amp;" maanden"</f>
        <v> maanden</v>
      </c>
      <c r="G34" s="46"/>
    </row>
    <row r="35">
      <c r="C35" s="18"/>
      <c r="D35" s="19"/>
      <c r="E35" s="20"/>
      <c r="F35" s="13"/>
      <c r="G35" s="46"/>
    </row>
    <row r="36">
      <c r="C36" s="10" t="s">
        <v>10</v>
      </c>
      <c r="D36" s="25"/>
      <c r="E36" s="29">
        <f>IF(F59="month",D59,IF(F59="year",D59*12,ROUND(D59/4,2)))</f>
        <v>1</v>
      </c>
      <c r="F36" s="12"/>
      <c r="G36" s="46"/>
    </row>
    <row r="37">
      <c r="C37" s="18"/>
      <c r="D37" s="19"/>
      <c r="E37" s="30"/>
      <c r="F37" s="31"/>
      <c r="G37" s="46"/>
    </row>
    <row r="38">
      <c r="C38" s="10" t="s">
        <v>12</v>
      </c>
      <c r="D38" s="11"/>
      <c r="E38" s="32">
        <f>EDATE(D55,D57)-1</f>
        <v>-1</v>
      </c>
      <c r="F38" s="13" t="str">
        <f>UPPER(IF(LEFT(D38,1)="b","Bulgarije",IF(LEFT(D38,1)="n","Nederland",D38)))</f>
        <v/>
      </c>
      <c r="G38" s="46"/>
    </row>
    <row r="39">
      <c r="C39" s="18"/>
      <c r="D39" s="33"/>
      <c r="E39" s="20"/>
      <c r="F39" s="13"/>
      <c r="G39" s="46"/>
    </row>
    <row r="40">
      <c r="C40" s="10" t="s">
        <v>15</v>
      </c>
      <c r="D40" s="34"/>
      <c r="E40" s="12" t="str">
        <f>D63&amp;" uur "&amp;F63</f>
        <v>40 uur per week</v>
      </c>
      <c r="G40" s="46"/>
    </row>
    <row r="41">
      <c r="C41" s="18"/>
      <c r="D41" s="19"/>
      <c r="E41" s="37"/>
      <c r="F41" s="31"/>
      <c r="G41" s="46"/>
    </row>
    <row r="42">
      <c r="C42" s="10" t="s">
        <v>19</v>
      </c>
      <c r="D42" s="38"/>
      <c r="E42" s="37"/>
      <c r="F42" s="31"/>
      <c r="G42" s="46"/>
    </row>
    <row r="43">
      <c r="C43" s="18"/>
      <c r="D43" s="19"/>
      <c r="E43" s="31"/>
      <c r="F43" s="31"/>
      <c r="G43" s="46"/>
    </row>
    <row r="44">
      <c r="C44" s="47" t="s">
        <v>25</v>
      </c>
      <c r="D44" s="48"/>
      <c r="E44" s="31"/>
      <c r="F44" s="31"/>
      <c r="G44" s="46"/>
    </row>
    <row r="45">
      <c r="C45" s="18"/>
      <c r="D45" s="19"/>
      <c r="E45" s="31"/>
      <c r="F45" s="31"/>
      <c r="G45" s="46"/>
    </row>
    <row r="46">
      <c r="C46" s="10" t="s">
        <v>23</v>
      </c>
      <c r="D46" s="25"/>
      <c r="E46" s="31"/>
      <c r="F46" s="31"/>
      <c r="G46" s="46"/>
    </row>
    <row r="47">
      <c r="C47" s="41"/>
      <c r="D47" s="42"/>
      <c r="E47" s="42"/>
      <c r="F47" s="42"/>
      <c r="G47" s="49"/>
    </row>
    <row r="48">
      <c r="J48" s="2"/>
    </row>
    <row r="49">
      <c r="C49" s="45" t="s">
        <v>26</v>
      </c>
      <c r="D49" s="4"/>
      <c r="E49" s="4"/>
      <c r="F49" s="4"/>
      <c r="G49" s="4"/>
      <c r="J49" s="2"/>
    </row>
    <row r="50">
      <c r="C50" s="7"/>
      <c r="D50" s="7"/>
      <c r="E50" s="7"/>
      <c r="F50" s="8"/>
      <c r="G50" s="9"/>
      <c r="J50" s="2"/>
    </row>
    <row r="51">
      <c r="C51" s="14" t="s">
        <v>2</v>
      </c>
      <c r="D51" s="11"/>
      <c r="E51" s="15" t="str">
        <f>UPPER(D51)</f>
        <v/>
      </c>
      <c r="F51" s="16"/>
      <c r="G51" s="9"/>
      <c r="J51" s="2"/>
    </row>
    <row r="52">
      <c r="C52" s="21"/>
      <c r="D52" s="19"/>
      <c r="E52" s="7"/>
      <c r="F52" s="8"/>
      <c r="G52" s="9"/>
      <c r="J52" s="2"/>
    </row>
    <row r="53">
      <c r="C53" s="14" t="s">
        <v>4</v>
      </c>
      <c r="D53" s="50"/>
      <c r="E53" s="7"/>
      <c r="F53" s="8"/>
      <c r="G53" s="9"/>
      <c r="J53" s="2"/>
    </row>
    <row r="54">
      <c r="C54" s="21"/>
      <c r="D54" s="19"/>
      <c r="E54" s="7"/>
      <c r="F54" s="8"/>
      <c r="G54" s="9"/>
      <c r="J54" s="2"/>
    </row>
    <row r="55">
      <c r="C55" s="14" t="s">
        <v>6</v>
      </c>
      <c r="D55" s="51"/>
      <c r="E55" s="15" t="str">
        <f>PROPER(D32)</f>
        <v/>
      </c>
      <c r="F55" s="8"/>
      <c r="G55" s="9"/>
      <c r="J55" s="2"/>
    </row>
    <row r="56">
      <c r="C56" s="21"/>
      <c r="D56" s="19"/>
      <c r="E56" s="7"/>
      <c r="F56" s="8"/>
      <c r="G56" s="9"/>
      <c r="J56" s="2"/>
    </row>
    <row r="57">
      <c r="C57" s="14" t="s">
        <v>8</v>
      </c>
      <c r="D57" s="26"/>
      <c r="E57" s="15" t="str">
        <f>PROPER(D34)</f>
        <v/>
      </c>
      <c r="F57" s="27" t="s">
        <v>9</v>
      </c>
      <c r="G57" s="9"/>
      <c r="J57" s="2"/>
    </row>
    <row r="58">
      <c r="C58" s="21"/>
      <c r="D58" s="19"/>
      <c r="E58" s="7"/>
      <c r="F58" s="28"/>
      <c r="G58" s="9"/>
      <c r="J58" s="2"/>
    </row>
    <row r="59">
      <c r="C59" s="14" t="s">
        <v>11</v>
      </c>
      <c r="D59" s="26">
        <v>1.0</v>
      </c>
      <c r="E59" s="15" t="str">
        <f>IF(E36&gt;1,E36&amp;" maanden"," maand")</f>
        <v> maand</v>
      </c>
      <c r="F59" s="27" t="s">
        <v>9</v>
      </c>
      <c r="G59" s="9"/>
      <c r="J59" s="2"/>
    </row>
    <row r="60">
      <c r="C60" s="21"/>
      <c r="D60" s="19"/>
      <c r="E60" s="7"/>
      <c r="F60" s="8"/>
      <c r="G60" s="9"/>
      <c r="J60" s="2"/>
    </row>
    <row r="61">
      <c r="C61" s="14" t="s">
        <v>13</v>
      </c>
      <c r="D61" s="11"/>
      <c r="E61" s="7"/>
      <c r="F61" s="8"/>
      <c r="G61" s="9"/>
      <c r="J61" s="2"/>
    </row>
    <row r="62">
      <c r="C62" s="21"/>
      <c r="D62" s="19"/>
      <c r="E62" s="7"/>
      <c r="F62" s="8"/>
      <c r="G62" s="9"/>
      <c r="J62" s="2"/>
    </row>
    <row r="63">
      <c r="C63" s="14" t="s">
        <v>16</v>
      </c>
      <c r="D63" s="26">
        <v>40.0</v>
      </c>
      <c r="E63" s="35" t="s">
        <v>17</v>
      </c>
      <c r="F63" s="36" t="s">
        <v>18</v>
      </c>
      <c r="G63" s="9"/>
      <c r="J63" s="2"/>
    </row>
    <row r="64">
      <c r="C64" s="21"/>
      <c r="D64" s="19"/>
      <c r="E64" s="7"/>
      <c r="F64" s="8"/>
      <c r="G64" s="9"/>
      <c r="J64" s="2"/>
    </row>
    <row r="65">
      <c r="C65" s="14" t="s">
        <v>20</v>
      </c>
      <c r="D65" s="11" t="s">
        <v>21</v>
      </c>
      <c r="E65" s="15" t="str">
        <f>PROPER(D65)</f>
        <v>Driver</v>
      </c>
      <c r="F65" s="8"/>
      <c r="G65" s="9"/>
      <c r="J65" s="2"/>
    </row>
    <row r="66">
      <c r="C66" s="19"/>
      <c r="D66" s="19"/>
      <c r="E66" s="7"/>
      <c r="F66" s="8"/>
      <c r="G66" s="9"/>
      <c r="J66" s="2"/>
    </row>
    <row r="67">
      <c r="C67" s="19"/>
      <c r="D67" s="19"/>
      <c r="E67" s="7"/>
      <c r="F67" s="8"/>
      <c r="G67" s="9"/>
      <c r="J67" s="2"/>
    </row>
    <row r="68">
      <c r="C68" s="19"/>
      <c r="D68" s="19"/>
      <c r="E68" s="7"/>
      <c r="F68" s="8"/>
      <c r="G68" s="9"/>
      <c r="J68" s="2"/>
    </row>
    <row r="69">
      <c r="C69" s="40"/>
      <c r="D69" s="19"/>
      <c r="E69" s="7"/>
      <c r="F69" s="8"/>
      <c r="G69" s="9"/>
      <c r="J69" s="2"/>
    </row>
    <row r="70">
      <c r="C70" s="42"/>
      <c r="D70" s="42"/>
      <c r="E70" s="42"/>
      <c r="F70" s="43"/>
      <c r="G70" s="44"/>
      <c r="J70" s="2"/>
    </row>
    <row r="71">
      <c r="J71" s="2"/>
    </row>
    <row r="72">
      <c r="J72" s="2"/>
    </row>
    <row r="73">
      <c r="J73" s="2"/>
    </row>
    <row r="74">
      <c r="J74" s="2"/>
    </row>
    <row r="75">
      <c r="J75" s="2"/>
    </row>
    <row r="76">
      <c r="J76" s="2"/>
    </row>
    <row r="77">
      <c r="J77" s="2"/>
    </row>
    <row r="78">
      <c r="J78" s="2"/>
    </row>
    <row r="79">
      <c r="J79" s="2"/>
    </row>
    <row r="80">
      <c r="J80" s="2"/>
    </row>
    <row r="81">
      <c r="J81" s="2"/>
    </row>
    <row r="82">
      <c r="J82" s="2"/>
    </row>
    <row r="83">
      <c r="J83" s="2"/>
    </row>
    <row r="84">
      <c r="J84" s="2"/>
    </row>
    <row r="85">
      <c r="J85" s="2"/>
    </row>
    <row r="86">
      <c r="J86" s="2"/>
    </row>
    <row r="87">
      <c r="J87" s="2"/>
    </row>
    <row r="88">
      <c r="J88" s="2"/>
    </row>
    <row r="89">
      <c r="J89" s="2"/>
    </row>
    <row r="90">
      <c r="J90" s="2"/>
    </row>
    <row r="91">
      <c r="J91" s="2"/>
    </row>
    <row r="92">
      <c r="J92" s="2"/>
    </row>
    <row r="93">
      <c r="J93" s="2"/>
    </row>
    <row r="94">
      <c r="J94" s="2"/>
    </row>
    <row r="95">
      <c r="J95" s="2"/>
    </row>
    <row r="96">
      <c r="J96" s="2"/>
    </row>
    <row r="97">
      <c r="J97" s="2"/>
    </row>
    <row r="98">
      <c r="J98" s="2"/>
    </row>
    <row r="99">
      <c r="J99" s="2"/>
    </row>
    <row r="100">
      <c r="J100" s="2"/>
    </row>
    <row r="101">
      <c r="J101" s="2"/>
    </row>
    <row r="102">
      <c r="J102" s="2"/>
    </row>
    <row r="103">
      <c r="J103" s="2"/>
    </row>
    <row r="104">
      <c r="J104" s="2"/>
    </row>
    <row r="105">
      <c r="J105" s="2"/>
    </row>
    <row r="106">
      <c r="J106" s="2"/>
    </row>
    <row r="107">
      <c r="J107" s="2"/>
    </row>
    <row r="108">
      <c r="J108" s="2"/>
    </row>
    <row r="109">
      <c r="J109" s="2"/>
    </row>
    <row r="110">
      <c r="J110" s="2"/>
    </row>
    <row r="111">
      <c r="J111" s="2"/>
    </row>
    <row r="112">
      <c r="J112" s="2"/>
    </row>
    <row r="113">
      <c r="J113" s="2"/>
    </row>
    <row r="114">
      <c r="J114" s="2"/>
    </row>
    <row r="115">
      <c r="J115" s="2"/>
    </row>
    <row r="116">
      <c r="J116" s="2"/>
    </row>
    <row r="117">
      <c r="J117" s="2"/>
    </row>
    <row r="118">
      <c r="J118" s="2"/>
    </row>
    <row r="119">
      <c r="J119" s="2"/>
    </row>
    <row r="120">
      <c r="J120" s="2"/>
    </row>
    <row r="121">
      <c r="J121" s="2"/>
    </row>
    <row r="122">
      <c r="J122" s="2"/>
    </row>
    <row r="123">
      <c r="J123" s="2"/>
    </row>
    <row r="124">
      <c r="J124" s="2"/>
    </row>
    <row r="125">
      <c r="J125" s="2"/>
    </row>
    <row r="126">
      <c r="J126" s="2"/>
    </row>
    <row r="127">
      <c r="J127" s="2"/>
    </row>
    <row r="128">
      <c r="J128" s="2"/>
    </row>
    <row r="129">
      <c r="J129" s="2"/>
    </row>
    <row r="130">
      <c r="J130" s="2"/>
    </row>
    <row r="131">
      <c r="J131" s="2"/>
    </row>
    <row r="132">
      <c r="J132" s="2"/>
    </row>
    <row r="133">
      <c r="J133" s="2"/>
    </row>
    <row r="134">
      <c r="J134" s="2"/>
    </row>
    <row r="135">
      <c r="J135" s="2"/>
    </row>
    <row r="136">
      <c r="J136" s="2"/>
    </row>
    <row r="137">
      <c r="J137" s="2"/>
    </row>
    <row r="138">
      <c r="J138" s="2"/>
    </row>
    <row r="139">
      <c r="J139" s="2"/>
    </row>
    <row r="140">
      <c r="J140" s="2"/>
    </row>
    <row r="141">
      <c r="J141" s="2"/>
    </row>
    <row r="142">
      <c r="J142" s="2"/>
    </row>
    <row r="143">
      <c r="J143" s="2"/>
    </row>
    <row r="144">
      <c r="J144" s="2"/>
    </row>
    <row r="145">
      <c r="J145" s="2"/>
    </row>
    <row r="146">
      <c r="J146" s="2"/>
    </row>
    <row r="147">
      <c r="J147" s="2"/>
    </row>
    <row r="148">
      <c r="J148" s="2"/>
    </row>
    <row r="149">
      <c r="J149" s="2"/>
    </row>
    <row r="150">
      <c r="J150" s="2"/>
    </row>
    <row r="151">
      <c r="J151" s="2"/>
    </row>
    <row r="152">
      <c r="J152" s="2"/>
    </row>
    <row r="153">
      <c r="J153" s="2"/>
    </row>
    <row r="154">
      <c r="J154" s="2"/>
    </row>
    <row r="155">
      <c r="J155" s="2"/>
    </row>
    <row r="156">
      <c r="J156" s="2"/>
    </row>
    <row r="157">
      <c r="J157" s="2"/>
    </row>
    <row r="158">
      <c r="J158" s="2"/>
    </row>
    <row r="159">
      <c r="J159" s="2"/>
    </row>
    <row r="160">
      <c r="J160" s="2"/>
    </row>
    <row r="161">
      <c r="J161" s="2"/>
    </row>
    <row r="162">
      <c r="J162" s="2"/>
    </row>
    <row r="163">
      <c r="J163" s="2"/>
    </row>
    <row r="164">
      <c r="J164" s="2"/>
    </row>
    <row r="165">
      <c r="J165" s="2"/>
    </row>
    <row r="166">
      <c r="J166" s="2"/>
    </row>
    <row r="167">
      <c r="J167" s="2"/>
    </row>
    <row r="168">
      <c r="J168" s="2"/>
    </row>
    <row r="169">
      <c r="J169" s="2"/>
    </row>
    <row r="170">
      <c r="J170" s="2"/>
    </row>
    <row r="171">
      <c r="J171" s="2"/>
    </row>
    <row r="172">
      <c r="J172" s="2"/>
    </row>
    <row r="173">
      <c r="J173" s="2"/>
    </row>
    <row r="174">
      <c r="J174" s="2"/>
    </row>
    <row r="175">
      <c r="J175" s="2"/>
    </row>
    <row r="176">
      <c r="J176" s="2"/>
    </row>
    <row r="177">
      <c r="J177" s="2"/>
    </row>
    <row r="178">
      <c r="J178" s="2"/>
    </row>
    <row r="179">
      <c r="J179" s="2"/>
    </row>
    <row r="180">
      <c r="J180" s="2"/>
    </row>
    <row r="181">
      <c r="J181" s="2"/>
    </row>
    <row r="182">
      <c r="J182" s="2"/>
    </row>
    <row r="183">
      <c r="J183" s="2"/>
    </row>
    <row r="184">
      <c r="J184" s="2"/>
    </row>
    <row r="185">
      <c r="J185" s="2"/>
    </row>
    <row r="186">
      <c r="J186" s="2"/>
    </row>
    <row r="187">
      <c r="J187" s="2"/>
    </row>
    <row r="188">
      <c r="J188" s="2"/>
    </row>
    <row r="189">
      <c r="J189" s="2"/>
    </row>
    <row r="190">
      <c r="J190" s="2"/>
    </row>
    <row r="191">
      <c r="J191" s="2"/>
    </row>
    <row r="192">
      <c r="J192" s="2"/>
    </row>
    <row r="193">
      <c r="J193" s="2"/>
    </row>
    <row r="194">
      <c r="J194" s="2"/>
    </row>
    <row r="195">
      <c r="J195" s="2"/>
    </row>
    <row r="196">
      <c r="J196" s="2"/>
    </row>
    <row r="197">
      <c r="J197" s="2"/>
    </row>
    <row r="198">
      <c r="J198" s="2"/>
    </row>
    <row r="199">
      <c r="J199" s="2"/>
    </row>
    <row r="200">
      <c r="J200" s="2"/>
    </row>
    <row r="201">
      <c r="J201" s="2"/>
    </row>
    <row r="202">
      <c r="J202" s="2"/>
    </row>
    <row r="203">
      <c r="J203" s="2"/>
    </row>
    <row r="204">
      <c r="J204" s="2"/>
    </row>
    <row r="205">
      <c r="J205" s="2"/>
    </row>
    <row r="206">
      <c r="J206" s="2"/>
    </row>
    <row r="207">
      <c r="J207" s="2"/>
    </row>
    <row r="208">
      <c r="J208" s="2"/>
    </row>
    <row r="209">
      <c r="J209" s="2"/>
    </row>
    <row r="210">
      <c r="J210" s="2"/>
    </row>
    <row r="211">
      <c r="J211" s="2"/>
    </row>
    <row r="212">
      <c r="J212" s="2"/>
    </row>
    <row r="213">
      <c r="J213" s="2"/>
    </row>
    <row r="214">
      <c r="J214" s="2"/>
    </row>
    <row r="215">
      <c r="J215" s="2"/>
    </row>
    <row r="216">
      <c r="J216" s="2"/>
    </row>
    <row r="217">
      <c r="J217" s="2"/>
    </row>
    <row r="218">
      <c r="J218" s="2"/>
    </row>
    <row r="219">
      <c r="J219" s="2"/>
    </row>
    <row r="220">
      <c r="J220" s="2"/>
    </row>
    <row r="221">
      <c r="J221" s="2"/>
    </row>
    <row r="222">
      <c r="J222" s="2"/>
    </row>
    <row r="223">
      <c r="J223" s="2"/>
    </row>
    <row r="224">
      <c r="J224" s="2"/>
    </row>
    <row r="225">
      <c r="J225" s="2"/>
    </row>
    <row r="226">
      <c r="J226" s="2"/>
    </row>
    <row r="227">
      <c r="J227" s="2"/>
    </row>
    <row r="228">
      <c r="J228" s="2"/>
    </row>
    <row r="229">
      <c r="J229" s="2"/>
    </row>
    <row r="230">
      <c r="J230" s="2"/>
    </row>
    <row r="231">
      <c r="J231" s="2"/>
    </row>
    <row r="232">
      <c r="J232" s="2"/>
    </row>
    <row r="233">
      <c r="J233" s="2"/>
    </row>
    <row r="234">
      <c r="J234" s="2"/>
    </row>
    <row r="235">
      <c r="J235" s="2"/>
    </row>
    <row r="236">
      <c r="J236" s="2"/>
    </row>
    <row r="237">
      <c r="J237" s="2"/>
    </row>
    <row r="238">
      <c r="J238" s="2"/>
    </row>
    <row r="239">
      <c r="J239" s="2"/>
    </row>
    <row r="240">
      <c r="J240" s="2"/>
    </row>
    <row r="241">
      <c r="J241" s="2"/>
    </row>
    <row r="242">
      <c r="J242" s="2"/>
    </row>
    <row r="243">
      <c r="J243" s="2"/>
    </row>
    <row r="244">
      <c r="J244" s="2"/>
    </row>
    <row r="245">
      <c r="J245" s="2"/>
    </row>
    <row r="246">
      <c r="J246" s="2"/>
    </row>
    <row r="247">
      <c r="J247" s="2"/>
    </row>
    <row r="248">
      <c r="J248" s="2"/>
    </row>
    <row r="249">
      <c r="J249" s="2"/>
    </row>
    <row r="250">
      <c r="J250" s="2"/>
    </row>
    <row r="251">
      <c r="J251" s="2"/>
    </row>
    <row r="252">
      <c r="J252" s="2"/>
    </row>
    <row r="253">
      <c r="J253" s="2"/>
    </row>
    <row r="254">
      <c r="J254" s="2"/>
    </row>
    <row r="255">
      <c r="J255" s="2"/>
    </row>
    <row r="256">
      <c r="J256" s="2"/>
    </row>
    <row r="257">
      <c r="J257" s="2"/>
    </row>
    <row r="258">
      <c r="J258" s="2"/>
    </row>
    <row r="259">
      <c r="J259" s="2"/>
    </row>
    <row r="260">
      <c r="J260" s="2"/>
    </row>
    <row r="261">
      <c r="J261" s="2"/>
    </row>
    <row r="262">
      <c r="J262" s="2"/>
    </row>
    <row r="263">
      <c r="J263" s="2"/>
    </row>
    <row r="264">
      <c r="J264" s="2"/>
    </row>
    <row r="265">
      <c r="J265" s="2"/>
    </row>
    <row r="266">
      <c r="J266" s="2"/>
    </row>
    <row r="267">
      <c r="J267" s="2"/>
    </row>
    <row r="268">
      <c r="J268" s="2"/>
    </row>
    <row r="269">
      <c r="J269" s="2"/>
    </row>
    <row r="270">
      <c r="J270" s="2"/>
    </row>
    <row r="271">
      <c r="J271" s="2"/>
    </row>
    <row r="272">
      <c r="J272" s="2"/>
    </row>
    <row r="273">
      <c r="J273" s="2"/>
    </row>
    <row r="274">
      <c r="J274" s="2"/>
    </row>
    <row r="275">
      <c r="J275" s="2"/>
    </row>
    <row r="276">
      <c r="J276" s="2"/>
    </row>
    <row r="277">
      <c r="J277" s="2"/>
    </row>
    <row r="278">
      <c r="J278" s="2"/>
    </row>
    <row r="279">
      <c r="J279" s="2"/>
    </row>
    <row r="280">
      <c r="J280" s="2"/>
    </row>
    <row r="281">
      <c r="J281" s="2"/>
    </row>
    <row r="282">
      <c r="J282" s="2"/>
    </row>
    <row r="283">
      <c r="J283" s="2"/>
    </row>
    <row r="284">
      <c r="J284" s="2"/>
    </row>
    <row r="285">
      <c r="J285" s="2"/>
    </row>
    <row r="286">
      <c r="J286" s="2"/>
    </row>
    <row r="287">
      <c r="J287" s="2"/>
    </row>
    <row r="288">
      <c r="J288" s="2"/>
    </row>
    <row r="289">
      <c r="J289" s="2"/>
    </row>
    <row r="290">
      <c r="J290" s="2"/>
    </row>
    <row r="291">
      <c r="J291" s="2"/>
    </row>
    <row r="292">
      <c r="J292" s="2"/>
    </row>
    <row r="293">
      <c r="J293" s="2"/>
    </row>
    <row r="294">
      <c r="J294" s="2"/>
    </row>
    <row r="295">
      <c r="J295" s="2"/>
    </row>
    <row r="296">
      <c r="J296" s="2"/>
    </row>
    <row r="297">
      <c r="J297" s="2"/>
    </row>
    <row r="298">
      <c r="J298" s="2"/>
    </row>
    <row r="299">
      <c r="J299" s="2"/>
    </row>
    <row r="300">
      <c r="J300" s="2"/>
    </row>
    <row r="301">
      <c r="J301" s="2"/>
    </row>
    <row r="302">
      <c r="J302" s="2"/>
    </row>
    <row r="303">
      <c r="J303" s="2"/>
    </row>
    <row r="304">
      <c r="J304" s="2"/>
    </row>
    <row r="305">
      <c r="J305" s="2"/>
    </row>
    <row r="306">
      <c r="J306" s="2"/>
    </row>
    <row r="307">
      <c r="J307" s="2"/>
    </row>
    <row r="308">
      <c r="J308" s="2"/>
    </row>
    <row r="309">
      <c r="J309" s="2"/>
    </row>
    <row r="310">
      <c r="J310" s="2"/>
    </row>
    <row r="311">
      <c r="J311" s="2"/>
    </row>
    <row r="312">
      <c r="J312" s="2"/>
    </row>
    <row r="313">
      <c r="J313" s="2"/>
    </row>
    <row r="314">
      <c r="J314" s="2"/>
    </row>
    <row r="315">
      <c r="J315" s="2"/>
    </row>
    <row r="316">
      <c r="J316" s="2"/>
    </row>
    <row r="317">
      <c r="J317" s="2"/>
    </row>
    <row r="318">
      <c r="J318" s="2"/>
    </row>
    <row r="319">
      <c r="J319" s="2"/>
    </row>
    <row r="320">
      <c r="J320" s="2"/>
    </row>
    <row r="321">
      <c r="J321" s="2"/>
    </row>
    <row r="322">
      <c r="J322" s="2"/>
    </row>
    <row r="323">
      <c r="J323" s="2"/>
    </row>
    <row r="324">
      <c r="J324" s="2"/>
    </row>
    <row r="325">
      <c r="J325" s="2"/>
    </row>
    <row r="326">
      <c r="J326" s="2"/>
    </row>
    <row r="327">
      <c r="J327" s="2"/>
    </row>
    <row r="328">
      <c r="J328" s="2"/>
    </row>
    <row r="329">
      <c r="J329" s="2"/>
    </row>
    <row r="330">
      <c r="J330" s="2"/>
    </row>
    <row r="331">
      <c r="J331" s="2"/>
    </row>
    <row r="332">
      <c r="J332" s="2"/>
    </row>
    <row r="333">
      <c r="J333" s="2"/>
    </row>
    <row r="334">
      <c r="J334" s="2"/>
    </row>
    <row r="335">
      <c r="J335" s="2"/>
    </row>
    <row r="336">
      <c r="J336" s="2"/>
    </row>
    <row r="337">
      <c r="J337" s="2"/>
    </row>
    <row r="338">
      <c r="J338" s="2"/>
    </row>
    <row r="339">
      <c r="J339" s="2"/>
    </row>
    <row r="340">
      <c r="J340" s="2"/>
    </row>
    <row r="341">
      <c r="J341" s="2"/>
    </row>
    <row r="342">
      <c r="J342" s="2"/>
    </row>
    <row r="343">
      <c r="J343" s="2"/>
    </row>
    <row r="344">
      <c r="J344" s="2"/>
    </row>
    <row r="345">
      <c r="J345" s="2"/>
    </row>
    <row r="346">
      <c r="J346" s="2"/>
    </row>
    <row r="347">
      <c r="J347" s="2"/>
    </row>
    <row r="348">
      <c r="J348" s="2"/>
    </row>
    <row r="349">
      <c r="J349" s="2"/>
    </row>
    <row r="350">
      <c r="J350" s="2"/>
    </row>
    <row r="351">
      <c r="J351" s="2"/>
    </row>
    <row r="352">
      <c r="J352" s="2"/>
    </row>
    <row r="353">
      <c r="J353" s="2"/>
    </row>
    <row r="354">
      <c r="J354" s="2"/>
    </row>
    <row r="355">
      <c r="J355" s="2"/>
    </row>
    <row r="356">
      <c r="J356" s="2"/>
    </row>
    <row r="357">
      <c r="J357" s="2"/>
    </row>
    <row r="358">
      <c r="J358" s="2"/>
    </row>
    <row r="359">
      <c r="J359" s="2"/>
    </row>
    <row r="360">
      <c r="J360" s="2"/>
    </row>
    <row r="361">
      <c r="J361" s="2"/>
    </row>
    <row r="362">
      <c r="J362" s="2"/>
    </row>
    <row r="363">
      <c r="J363" s="2"/>
    </row>
    <row r="364">
      <c r="J364" s="2"/>
    </row>
    <row r="365">
      <c r="J365" s="2"/>
    </row>
    <row r="366">
      <c r="J366" s="2"/>
    </row>
    <row r="367">
      <c r="J367" s="2"/>
    </row>
    <row r="368">
      <c r="J368" s="2"/>
    </row>
    <row r="369">
      <c r="J369" s="2"/>
    </row>
    <row r="370">
      <c r="J370" s="2"/>
    </row>
    <row r="371">
      <c r="J371" s="2"/>
    </row>
    <row r="372">
      <c r="J372" s="2"/>
    </row>
    <row r="373">
      <c r="J373" s="2"/>
    </row>
    <row r="374">
      <c r="J374" s="2"/>
    </row>
    <row r="375">
      <c r="J375" s="2"/>
    </row>
    <row r="376">
      <c r="J376" s="2"/>
    </row>
    <row r="377">
      <c r="J377" s="2"/>
    </row>
    <row r="378">
      <c r="J378" s="2"/>
    </row>
    <row r="379">
      <c r="J379" s="2"/>
    </row>
    <row r="380">
      <c r="J380" s="2"/>
    </row>
    <row r="381">
      <c r="J381" s="2"/>
    </row>
    <row r="382">
      <c r="J382" s="2"/>
    </row>
    <row r="383">
      <c r="J383" s="2"/>
    </row>
    <row r="384">
      <c r="J384" s="2"/>
    </row>
    <row r="385">
      <c r="J385" s="2"/>
    </row>
    <row r="386">
      <c r="J386" s="2"/>
    </row>
    <row r="387">
      <c r="J387" s="2"/>
    </row>
    <row r="388">
      <c r="J388" s="2"/>
    </row>
    <row r="389">
      <c r="J389" s="2"/>
    </row>
    <row r="390">
      <c r="J390" s="2"/>
    </row>
    <row r="391">
      <c r="J391" s="2"/>
    </row>
    <row r="392">
      <c r="J392" s="2"/>
    </row>
    <row r="393">
      <c r="J393" s="2"/>
    </row>
    <row r="394">
      <c r="J394" s="2"/>
    </row>
    <row r="395">
      <c r="J395" s="2"/>
    </row>
    <row r="396">
      <c r="J396" s="2"/>
    </row>
    <row r="397">
      <c r="J397" s="2"/>
    </row>
    <row r="398">
      <c r="J398" s="2"/>
    </row>
    <row r="399">
      <c r="J399" s="2"/>
    </row>
    <row r="400">
      <c r="J400" s="2"/>
    </row>
    <row r="401">
      <c r="J401" s="2"/>
    </row>
    <row r="402">
      <c r="J402" s="2"/>
    </row>
    <row r="403">
      <c r="J403" s="2"/>
    </row>
    <row r="404">
      <c r="J404" s="2"/>
    </row>
    <row r="405">
      <c r="J405" s="2"/>
    </row>
    <row r="406">
      <c r="J406" s="2"/>
    </row>
    <row r="407">
      <c r="J407" s="2"/>
    </row>
    <row r="408">
      <c r="J408" s="2"/>
    </row>
    <row r="409">
      <c r="J409" s="2"/>
    </row>
    <row r="410">
      <c r="J410" s="2"/>
    </row>
    <row r="411">
      <c r="J411" s="2"/>
    </row>
    <row r="412">
      <c r="J412" s="2"/>
    </row>
    <row r="413">
      <c r="J413" s="2"/>
    </row>
    <row r="414">
      <c r="J414" s="2"/>
    </row>
    <row r="415">
      <c r="J415" s="2"/>
    </row>
    <row r="416">
      <c r="J416" s="2"/>
    </row>
    <row r="417">
      <c r="J417" s="2"/>
    </row>
    <row r="418">
      <c r="J418" s="2"/>
    </row>
    <row r="419">
      <c r="J419" s="2"/>
    </row>
    <row r="420">
      <c r="J420" s="2"/>
    </row>
    <row r="421">
      <c r="J421" s="2"/>
    </row>
    <row r="422">
      <c r="J422" s="2"/>
    </row>
    <row r="423">
      <c r="J423" s="2"/>
    </row>
    <row r="424">
      <c r="J424" s="2"/>
    </row>
    <row r="425">
      <c r="J425" s="2"/>
    </row>
    <row r="426">
      <c r="J426" s="2"/>
    </row>
    <row r="427">
      <c r="J427" s="2"/>
    </row>
    <row r="428">
      <c r="J428" s="2"/>
    </row>
    <row r="429">
      <c r="J429" s="2"/>
    </row>
    <row r="430">
      <c r="J430" s="2"/>
    </row>
    <row r="431">
      <c r="J431" s="2"/>
    </row>
    <row r="432">
      <c r="J432" s="2"/>
    </row>
    <row r="433">
      <c r="J433" s="2"/>
    </row>
    <row r="434">
      <c r="J434" s="2"/>
    </row>
    <row r="435">
      <c r="J435" s="2"/>
    </row>
    <row r="436">
      <c r="J436" s="2"/>
    </row>
    <row r="437">
      <c r="J437" s="2"/>
    </row>
    <row r="438">
      <c r="J438" s="2"/>
    </row>
    <row r="439">
      <c r="J439" s="2"/>
    </row>
    <row r="440">
      <c r="J440" s="2"/>
    </row>
    <row r="441">
      <c r="J441" s="2"/>
    </row>
    <row r="442">
      <c r="J442" s="2"/>
    </row>
    <row r="443">
      <c r="J443" s="2"/>
    </row>
    <row r="444">
      <c r="J444" s="2"/>
    </row>
    <row r="445">
      <c r="J445" s="2"/>
    </row>
    <row r="446">
      <c r="J446" s="2"/>
    </row>
    <row r="447">
      <c r="J447" s="2"/>
    </row>
    <row r="448">
      <c r="J448" s="2"/>
    </row>
    <row r="449">
      <c r="J449" s="2"/>
    </row>
    <row r="450">
      <c r="J450" s="2"/>
    </row>
    <row r="451">
      <c r="J451" s="2"/>
    </row>
    <row r="452">
      <c r="J452" s="2"/>
    </row>
    <row r="453">
      <c r="J453" s="2"/>
    </row>
    <row r="454">
      <c r="J454" s="2"/>
    </row>
    <row r="455">
      <c r="J455" s="2"/>
    </row>
    <row r="456">
      <c r="J456" s="2"/>
    </row>
    <row r="457">
      <c r="J457" s="2"/>
    </row>
    <row r="458">
      <c r="J458" s="2"/>
    </row>
    <row r="459">
      <c r="J459" s="2"/>
    </row>
    <row r="460">
      <c r="J460" s="2"/>
    </row>
    <row r="461">
      <c r="J461" s="2"/>
    </row>
    <row r="462">
      <c r="J462" s="2"/>
    </row>
    <row r="463">
      <c r="J463" s="2"/>
    </row>
    <row r="464">
      <c r="J464" s="2"/>
    </row>
    <row r="465">
      <c r="J465" s="2"/>
    </row>
    <row r="466">
      <c r="J466" s="2"/>
    </row>
    <row r="467">
      <c r="J467" s="2"/>
    </row>
    <row r="468">
      <c r="J468" s="2"/>
    </row>
    <row r="469">
      <c r="J469" s="2"/>
    </row>
    <row r="470">
      <c r="J470" s="2"/>
    </row>
    <row r="471">
      <c r="J471" s="2"/>
    </row>
    <row r="472">
      <c r="J472" s="2"/>
    </row>
    <row r="473">
      <c r="J473" s="2"/>
    </row>
    <row r="474">
      <c r="J474" s="2"/>
    </row>
    <row r="475">
      <c r="J475" s="2"/>
    </row>
    <row r="476">
      <c r="J476" s="2"/>
    </row>
    <row r="477">
      <c r="J477" s="2"/>
    </row>
    <row r="478">
      <c r="J478" s="2"/>
    </row>
    <row r="479">
      <c r="J479" s="2"/>
    </row>
    <row r="480">
      <c r="J480" s="2"/>
    </row>
    <row r="481">
      <c r="J481" s="2"/>
    </row>
    <row r="482">
      <c r="J482" s="2"/>
    </row>
    <row r="483">
      <c r="J483" s="2"/>
    </row>
    <row r="484">
      <c r="J484" s="2"/>
    </row>
    <row r="485">
      <c r="J485" s="2"/>
    </row>
    <row r="486">
      <c r="J486" s="2"/>
    </row>
    <row r="487">
      <c r="J487" s="2"/>
    </row>
    <row r="488">
      <c r="J488" s="2"/>
    </row>
    <row r="489">
      <c r="J489" s="2"/>
    </row>
    <row r="490">
      <c r="J490" s="2"/>
    </row>
    <row r="491">
      <c r="J491" s="2"/>
    </row>
    <row r="492">
      <c r="J492" s="2"/>
    </row>
    <row r="493">
      <c r="J493" s="2"/>
    </row>
    <row r="494">
      <c r="J494" s="2"/>
    </row>
    <row r="495">
      <c r="J495" s="2"/>
    </row>
    <row r="496">
      <c r="J496" s="2"/>
    </row>
    <row r="497">
      <c r="J497" s="2"/>
    </row>
    <row r="498">
      <c r="J498" s="2"/>
    </row>
    <row r="499">
      <c r="J499" s="2"/>
    </row>
    <row r="500">
      <c r="J500" s="2"/>
    </row>
    <row r="501">
      <c r="J501" s="2"/>
    </row>
    <row r="502">
      <c r="J502" s="2"/>
    </row>
    <row r="503">
      <c r="J503" s="2"/>
    </row>
    <row r="504">
      <c r="J504" s="2"/>
    </row>
    <row r="505">
      <c r="J505" s="2"/>
    </row>
    <row r="506">
      <c r="J506" s="2"/>
    </row>
    <row r="507">
      <c r="J507" s="2"/>
    </row>
    <row r="508">
      <c r="J508" s="2"/>
    </row>
    <row r="509">
      <c r="J509" s="2"/>
    </row>
    <row r="510">
      <c r="J510" s="2"/>
    </row>
    <row r="511">
      <c r="J511" s="2"/>
    </row>
    <row r="512">
      <c r="J512" s="2"/>
    </row>
    <row r="513">
      <c r="J513" s="2"/>
    </row>
    <row r="514">
      <c r="J514" s="2"/>
    </row>
    <row r="515">
      <c r="J515" s="2"/>
    </row>
    <row r="516">
      <c r="J516" s="2"/>
    </row>
    <row r="517">
      <c r="J517" s="2"/>
    </row>
    <row r="518">
      <c r="J518" s="2"/>
    </row>
    <row r="519">
      <c r="J519" s="2"/>
    </row>
    <row r="520">
      <c r="J520" s="2"/>
    </row>
    <row r="521">
      <c r="J521" s="2"/>
    </row>
    <row r="522">
      <c r="J522" s="2"/>
    </row>
    <row r="523">
      <c r="J523" s="2"/>
    </row>
    <row r="524">
      <c r="J524" s="2"/>
    </row>
    <row r="525">
      <c r="J525" s="2"/>
    </row>
    <row r="526">
      <c r="J526" s="2"/>
    </row>
    <row r="527">
      <c r="J527" s="2"/>
    </row>
    <row r="528">
      <c r="J528" s="2"/>
    </row>
    <row r="529">
      <c r="J529" s="2"/>
    </row>
    <row r="530">
      <c r="J530" s="2"/>
    </row>
    <row r="531">
      <c r="J531" s="2"/>
    </row>
    <row r="532">
      <c r="J532" s="2"/>
    </row>
    <row r="533">
      <c r="J533" s="2"/>
    </row>
    <row r="534">
      <c r="J534" s="2"/>
    </row>
    <row r="535">
      <c r="J535" s="2"/>
    </row>
    <row r="536">
      <c r="J536" s="2"/>
    </row>
    <row r="537">
      <c r="J537" s="2"/>
    </row>
    <row r="538">
      <c r="J538" s="2"/>
    </row>
    <row r="539">
      <c r="J539" s="2"/>
    </row>
    <row r="540">
      <c r="J540" s="2"/>
    </row>
    <row r="541">
      <c r="J541" s="2"/>
    </row>
    <row r="542">
      <c r="J542" s="2"/>
    </row>
    <row r="543">
      <c r="J543" s="2"/>
    </row>
    <row r="544">
      <c r="J544" s="2"/>
    </row>
    <row r="545">
      <c r="J545" s="2"/>
    </row>
    <row r="546">
      <c r="J546" s="2"/>
    </row>
    <row r="547">
      <c r="J547" s="2"/>
    </row>
    <row r="548">
      <c r="J548" s="2"/>
    </row>
    <row r="549">
      <c r="J549" s="2"/>
    </row>
    <row r="550">
      <c r="J550" s="2"/>
    </row>
    <row r="551">
      <c r="J551" s="2"/>
    </row>
    <row r="552">
      <c r="J552" s="2"/>
    </row>
    <row r="553">
      <c r="J553" s="2"/>
    </row>
    <row r="554">
      <c r="J554" s="2"/>
    </row>
    <row r="555">
      <c r="J555" s="2"/>
    </row>
    <row r="556">
      <c r="J556" s="2"/>
    </row>
    <row r="557">
      <c r="J557" s="2"/>
    </row>
    <row r="558">
      <c r="J558" s="2"/>
    </row>
    <row r="559">
      <c r="J559" s="2"/>
    </row>
    <row r="560">
      <c r="J560" s="2"/>
    </row>
    <row r="561">
      <c r="J561" s="2"/>
    </row>
    <row r="562">
      <c r="J562" s="2"/>
    </row>
    <row r="563">
      <c r="J563" s="2"/>
    </row>
    <row r="564">
      <c r="J564" s="2"/>
    </row>
    <row r="565">
      <c r="J565" s="2"/>
    </row>
    <row r="566">
      <c r="J566" s="2"/>
    </row>
    <row r="567">
      <c r="J567" s="2"/>
    </row>
    <row r="568">
      <c r="J568" s="2"/>
    </row>
    <row r="569">
      <c r="J569" s="2"/>
    </row>
    <row r="570">
      <c r="J570" s="2"/>
    </row>
    <row r="571">
      <c r="J571" s="2"/>
    </row>
    <row r="572">
      <c r="J572" s="2"/>
    </row>
    <row r="573">
      <c r="J573" s="2"/>
    </row>
    <row r="574">
      <c r="J574" s="2"/>
    </row>
    <row r="575">
      <c r="J575" s="2"/>
    </row>
    <row r="576">
      <c r="J576" s="2"/>
    </row>
    <row r="577">
      <c r="J577" s="2"/>
    </row>
    <row r="578">
      <c r="J578" s="2"/>
    </row>
    <row r="579">
      <c r="J579" s="2"/>
    </row>
    <row r="580">
      <c r="J580" s="2"/>
    </row>
    <row r="581">
      <c r="J581" s="2"/>
    </row>
    <row r="582">
      <c r="J582" s="2"/>
    </row>
    <row r="583">
      <c r="J583" s="2"/>
    </row>
    <row r="584">
      <c r="J584" s="2"/>
    </row>
    <row r="585">
      <c r="J585" s="2"/>
    </row>
    <row r="586">
      <c r="J586" s="2"/>
    </row>
    <row r="587">
      <c r="J587" s="2"/>
    </row>
    <row r="588">
      <c r="J588" s="2"/>
    </row>
    <row r="589">
      <c r="J589" s="2"/>
    </row>
    <row r="590">
      <c r="J590" s="2"/>
    </row>
    <row r="591">
      <c r="J591" s="2"/>
    </row>
    <row r="592">
      <c r="J592" s="2"/>
    </row>
    <row r="593">
      <c r="J593" s="2"/>
    </row>
    <row r="594">
      <c r="J594" s="2"/>
    </row>
    <row r="595">
      <c r="J595" s="2"/>
    </row>
    <row r="596">
      <c r="J596" s="2"/>
    </row>
    <row r="597">
      <c r="J597" s="2"/>
    </row>
    <row r="598">
      <c r="J598" s="2"/>
    </row>
    <row r="599">
      <c r="J599" s="2"/>
    </row>
    <row r="600">
      <c r="J600" s="2"/>
    </row>
    <row r="601">
      <c r="J601" s="2"/>
    </row>
    <row r="602">
      <c r="J602" s="2"/>
    </row>
    <row r="603">
      <c r="J603" s="2"/>
    </row>
    <row r="604">
      <c r="J604" s="2"/>
    </row>
    <row r="605">
      <c r="J605" s="2"/>
    </row>
    <row r="606">
      <c r="J606" s="2"/>
    </row>
    <row r="607">
      <c r="J607" s="2"/>
    </row>
    <row r="608">
      <c r="J608" s="2"/>
    </row>
    <row r="609">
      <c r="J609" s="2"/>
    </row>
    <row r="610">
      <c r="J610" s="2"/>
    </row>
    <row r="611">
      <c r="J611" s="2"/>
    </row>
    <row r="612">
      <c r="J612" s="2"/>
    </row>
    <row r="613">
      <c r="J613" s="2"/>
    </row>
    <row r="614">
      <c r="J614" s="2"/>
    </row>
    <row r="615">
      <c r="J615" s="2"/>
    </row>
    <row r="616">
      <c r="J616" s="2"/>
    </row>
    <row r="617">
      <c r="J617" s="2"/>
    </row>
    <row r="618">
      <c r="J618" s="2"/>
    </row>
    <row r="619">
      <c r="J619" s="2"/>
    </row>
    <row r="620">
      <c r="J620" s="2"/>
    </row>
    <row r="621">
      <c r="J621" s="2"/>
    </row>
    <row r="622">
      <c r="J622" s="2"/>
    </row>
    <row r="623">
      <c r="J623" s="2"/>
    </row>
    <row r="624">
      <c r="J624" s="2"/>
    </row>
    <row r="625">
      <c r="J625" s="2"/>
    </row>
    <row r="626">
      <c r="J626" s="2"/>
    </row>
    <row r="627">
      <c r="J627" s="2"/>
    </row>
    <row r="628">
      <c r="J628" s="2"/>
    </row>
    <row r="629">
      <c r="J629" s="2"/>
    </row>
    <row r="630">
      <c r="J630" s="2"/>
    </row>
    <row r="631">
      <c r="J631" s="2"/>
    </row>
    <row r="632">
      <c r="J632" s="2"/>
    </row>
    <row r="633">
      <c r="J633" s="2"/>
    </row>
    <row r="634">
      <c r="J634" s="2"/>
    </row>
    <row r="635">
      <c r="J635" s="2"/>
    </row>
    <row r="636">
      <c r="J636" s="2"/>
    </row>
    <row r="637">
      <c r="J637" s="2"/>
    </row>
    <row r="638">
      <c r="J638" s="2"/>
    </row>
    <row r="639">
      <c r="J639" s="2"/>
    </row>
    <row r="640">
      <c r="J640" s="2"/>
    </row>
    <row r="641">
      <c r="J641" s="2"/>
    </row>
    <row r="642">
      <c r="J642" s="2"/>
    </row>
    <row r="643">
      <c r="J643" s="2"/>
    </row>
    <row r="644">
      <c r="J644" s="2"/>
    </row>
    <row r="645">
      <c r="J645" s="2"/>
    </row>
    <row r="646">
      <c r="J646" s="2"/>
    </row>
    <row r="647">
      <c r="J647" s="2"/>
    </row>
    <row r="648">
      <c r="J648" s="2"/>
    </row>
    <row r="649">
      <c r="J649" s="2"/>
    </row>
    <row r="650">
      <c r="J650" s="2"/>
    </row>
    <row r="651">
      <c r="J651" s="2"/>
    </row>
    <row r="652">
      <c r="J652" s="2"/>
    </row>
    <row r="653">
      <c r="J653" s="2"/>
    </row>
    <row r="654">
      <c r="J654" s="2"/>
    </row>
    <row r="655">
      <c r="J655" s="2"/>
    </row>
    <row r="656">
      <c r="J656" s="2"/>
    </row>
    <row r="657">
      <c r="J657" s="2"/>
    </row>
    <row r="658">
      <c r="J658" s="2"/>
    </row>
    <row r="659">
      <c r="J659" s="2"/>
    </row>
    <row r="660">
      <c r="J660" s="2"/>
    </row>
    <row r="661">
      <c r="J661" s="2"/>
    </row>
    <row r="662">
      <c r="J662" s="2"/>
    </row>
    <row r="663">
      <c r="J663" s="2"/>
    </row>
    <row r="664">
      <c r="J664" s="2"/>
    </row>
    <row r="665">
      <c r="J665" s="2"/>
    </row>
    <row r="666">
      <c r="J666" s="2"/>
    </row>
    <row r="667">
      <c r="J667" s="2"/>
    </row>
    <row r="668">
      <c r="J668" s="2"/>
    </row>
    <row r="669">
      <c r="J669" s="2"/>
    </row>
    <row r="670">
      <c r="J670" s="2"/>
    </row>
    <row r="671">
      <c r="J671" s="2"/>
    </row>
    <row r="672">
      <c r="J672" s="2"/>
    </row>
    <row r="673">
      <c r="J673" s="2"/>
    </row>
    <row r="674">
      <c r="J674" s="2"/>
    </row>
    <row r="675">
      <c r="J675" s="2"/>
    </row>
    <row r="676">
      <c r="J676" s="2"/>
    </row>
    <row r="677">
      <c r="J677" s="2"/>
    </row>
    <row r="678">
      <c r="J678" s="2"/>
    </row>
    <row r="679">
      <c r="J679" s="2"/>
    </row>
    <row r="680">
      <c r="J680" s="2"/>
    </row>
    <row r="681">
      <c r="J681" s="2"/>
    </row>
    <row r="682">
      <c r="J682" s="2"/>
    </row>
    <row r="683">
      <c r="J683" s="2"/>
    </row>
    <row r="684">
      <c r="J684" s="2"/>
    </row>
    <row r="685">
      <c r="J685" s="2"/>
    </row>
    <row r="686">
      <c r="J686" s="2"/>
    </row>
    <row r="687">
      <c r="J687" s="2"/>
    </row>
    <row r="688">
      <c r="J688" s="2"/>
    </row>
    <row r="689">
      <c r="J689" s="2"/>
    </row>
    <row r="690">
      <c r="J690" s="2"/>
    </row>
    <row r="691">
      <c r="J691" s="2"/>
    </row>
    <row r="692">
      <c r="J692" s="2"/>
    </row>
    <row r="693">
      <c r="J693" s="2"/>
    </row>
    <row r="694">
      <c r="J694" s="2"/>
    </row>
    <row r="695">
      <c r="J695" s="2"/>
    </row>
    <row r="696">
      <c r="J696" s="2"/>
    </row>
    <row r="697">
      <c r="J697" s="2"/>
    </row>
    <row r="698">
      <c r="J698" s="2"/>
    </row>
    <row r="699">
      <c r="J699" s="2"/>
    </row>
    <row r="700">
      <c r="J700" s="2"/>
    </row>
    <row r="701">
      <c r="J701" s="2"/>
    </row>
    <row r="702">
      <c r="J702" s="2"/>
    </row>
    <row r="703">
      <c r="J703" s="2"/>
    </row>
    <row r="704">
      <c r="J704" s="2"/>
    </row>
    <row r="705">
      <c r="J705" s="2"/>
    </row>
    <row r="706">
      <c r="J706" s="2"/>
    </row>
    <row r="707">
      <c r="J707" s="2"/>
    </row>
    <row r="708">
      <c r="J708" s="2"/>
    </row>
    <row r="709">
      <c r="J709" s="2"/>
    </row>
    <row r="710">
      <c r="J710" s="2"/>
    </row>
    <row r="711">
      <c r="J711" s="2"/>
    </row>
    <row r="712">
      <c r="J712" s="2"/>
    </row>
    <row r="713">
      <c r="J713" s="2"/>
    </row>
    <row r="714">
      <c r="J714" s="2"/>
    </row>
    <row r="715">
      <c r="J715" s="2"/>
    </row>
    <row r="716">
      <c r="J716" s="2"/>
    </row>
    <row r="717">
      <c r="J717" s="2"/>
    </row>
    <row r="718">
      <c r="J718" s="2"/>
    </row>
    <row r="719">
      <c r="J719" s="2"/>
    </row>
    <row r="720">
      <c r="J720" s="2"/>
    </row>
    <row r="721">
      <c r="J721" s="2"/>
    </row>
    <row r="722">
      <c r="J722" s="2"/>
    </row>
    <row r="723">
      <c r="J723" s="2"/>
    </row>
    <row r="724">
      <c r="J724" s="2"/>
    </row>
    <row r="725">
      <c r="J725" s="2"/>
    </row>
    <row r="726">
      <c r="J726" s="2"/>
    </row>
    <row r="727">
      <c r="J727" s="2"/>
    </row>
    <row r="728">
      <c r="J728" s="2"/>
    </row>
    <row r="729">
      <c r="J729" s="2"/>
    </row>
    <row r="730">
      <c r="J730" s="2"/>
    </row>
    <row r="731">
      <c r="J731" s="2"/>
    </row>
    <row r="732">
      <c r="J732" s="2"/>
    </row>
    <row r="733">
      <c r="J733" s="2"/>
    </row>
    <row r="734">
      <c r="J734" s="2"/>
    </row>
    <row r="735">
      <c r="J735" s="2"/>
    </row>
    <row r="736">
      <c r="J736" s="2"/>
    </row>
    <row r="737">
      <c r="J737" s="2"/>
    </row>
    <row r="738">
      <c r="J738" s="2"/>
    </row>
    <row r="739">
      <c r="J739" s="2"/>
    </row>
    <row r="740">
      <c r="J740" s="2"/>
    </row>
    <row r="741">
      <c r="J741" s="2"/>
    </row>
    <row r="742">
      <c r="J742" s="2"/>
    </row>
    <row r="743">
      <c r="J743" s="2"/>
    </row>
    <row r="744">
      <c r="J744" s="2"/>
    </row>
    <row r="745">
      <c r="J745" s="2"/>
    </row>
    <row r="746">
      <c r="J746" s="2"/>
    </row>
    <row r="747">
      <c r="J747" s="2"/>
    </row>
    <row r="748">
      <c r="J748" s="2"/>
    </row>
    <row r="749">
      <c r="J749" s="2"/>
    </row>
    <row r="750">
      <c r="J750" s="2"/>
    </row>
    <row r="751">
      <c r="J751" s="2"/>
    </row>
    <row r="752">
      <c r="J752" s="2"/>
    </row>
    <row r="753">
      <c r="J753" s="2"/>
    </row>
    <row r="754">
      <c r="J754" s="2"/>
    </row>
    <row r="755">
      <c r="J755" s="2"/>
    </row>
    <row r="756">
      <c r="J756" s="2"/>
    </row>
    <row r="757">
      <c r="J757" s="2"/>
    </row>
    <row r="758">
      <c r="J758" s="2"/>
    </row>
    <row r="759">
      <c r="J759" s="2"/>
    </row>
    <row r="760">
      <c r="J760" s="2"/>
    </row>
    <row r="761">
      <c r="J761" s="2"/>
    </row>
    <row r="762">
      <c r="J762" s="2"/>
    </row>
    <row r="763">
      <c r="J763" s="2"/>
    </row>
    <row r="764">
      <c r="J764" s="2"/>
    </row>
    <row r="765">
      <c r="J765" s="2"/>
    </row>
    <row r="766">
      <c r="J766" s="2"/>
    </row>
    <row r="767">
      <c r="J767" s="2"/>
    </row>
    <row r="768">
      <c r="J768" s="2"/>
    </row>
    <row r="769">
      <c r="J769" s="2"/>
    </row>
    <row r="770">
      <c r="J770" s="2"/>
    </row>
    <row r="771">
      <c r="J771" s="2"/>
    </row>
    <row r="772">
      <c r="J772" s="2"/>
    </row>
    <row r="773">
      <c r="J773" s="2"/>
    </row>
    <row r="774">
      <c r="J774" s="2"/>
    </row>
    <row r="775">
      <c r="J775" s="2"/>
    </row>
    <row r="776">
      <c r="J776" s="2"/>
    </row>
    <row r="777">
      <c r="J777" s="2"/>
    </row>
    <row r="778">
      <c r="J778" s="2"/>
    </row>
    <row r="779">
      <c r="J779" s="2"/>
    </row>
    <row r="780">
      <c r="J780" s="2"/>
    </row>
    <row r="781">
      <c r="J781" s="2"/>
    </row>
    <row r="782">
      <c r="J782" s="2"/>
    </row>
    <row r="783">
      <c r="J783" s="2"/>
    </row>
    <row r="784">
      <c r="J784" s="2"/>
    </row>
    <row r="785">
      <c r="J785" s="2"/>
    </row>
    <row r="786">
      <c r="J786" s="2"/>
    </row>
    <row r="787">
      <c r="J787" s="2"/>
    </row>
    <row r="788">
      <c r="J788" s="2"/>
    </row>
    <row r="789">
      <c r="J789" s="2"/>
    </row>
    <row r="790">
      <c r="J790" s="2"/>
    </row>
    <row r="791">
      <c r="J791" s="2"/>
    </row>
    <row r="792">
      <c r="J792" s="2"/>
    </row>
    <row r="793">
      <c r="J793" s="2"/>
    </row>
    <row r="794">
      <c r="J794" s="2"/>
    </row>
    <row r="795">
      <c r="J795" s="2"/>
    </row>
    <row r="796">
      <c r="J796" s="2"/>
    </row>
    <row r="797">
      <c r="J797" s="2"/>
    </row>
    <row r="798">
      <c r="J798" s="2"/>
    </row>
    <row r="799">
      <c r="J799" s="2"/>
    </row>
    <row r="800">
      <c r="J800" s="2"/>
    </row>
    <row r="801">
      <c r="J801" s="2"/>
    </row>
    <row r="802">
      <c r="J802" s="2"/>
    </row>
    <row r="803">
      <c r="J803" s="2"/>
    </row>
    <row r="804">
      <c r="J804" s="2"/>
    </row>
    <row r="805">
      <c r="J805" s="2"/>
    </row>
    <row r="806">
      <c r="J806" s="2"/>
    </row>
    <row r="807">
      <c r="J807" s="2"/>
    </row>
    <row r="808">
      <c r="J808" s="2"/>
    </row>
    <row r="809">
      <c r="J809" s="2"/>
    </row>
    <row r="810">
      <c r="J810" s="2"/>
    </row>
    <row r="811">
      <c r="J811" s="2"/>
    </row>
    <row r="812">
      <c r="J812" s="2"/>
    </row>
    <row r="813">
      <c r="J813" s="2"/>
    </row>
    <row r="814">
      <c r="J814" s="2"/>
    </row>
    <row r="815">
      <c r="J815" s="2"/>
    </row>
    <row r="816">
      <c r="J816" s="2"/>
    </row>
    <row r="817">
      <c r="J817" s="2"/>
    </row>
    <row r="818">
      <c r="J818" s="2"/>
    </row>
    <row r="819">
      <c r="J819" s="2"/>
    </row>
    <row r="820">
      <c r="J820" s="2"/>
    </row>
    <row r="821">
      <c r="J821" s="2"/>
    </row>
    <row r="822">
      <c r="J822" s="2"/>
    </row>
    <row r="823">
      <c r="J823" s="2"/>
    </row>
    <row r="824">
      <c r="J824" s="2"/>
    </row>
    <row r="825">
      <c r="J825" s="2"/>
    </row>
    <row r="826">
      <c r="J826" s="2"/>
    </row>
    <row r="827">
      <c r="J827" s="2"/>
    </row>
    <row r="828">
      <c r="J828" s="2"/>
    </row>
    <row r="829">
      <c r="J829" s="2"/>
    </row>
    <row r="830">
      <c r="J830" s="2"/>
    </row>
    <row r="831">
      <c r="J831" s="2"/>
    </row>
    <row r="832">
      <c r="J832" s="2"/>
    </row>
    <row r="833">
      <c r="J833" s="2"/>
    </row>
    <row r="834">
      <c r="J834" s="2"/>
    </row>
    <row r="835">
      <c r="J835" s="2"/>
    </row>
    <row r="836">
      <c r="J836" s="2"/>
    </row>
    <row r="837">
      <c r="J837" s="2"/>
    </row>
    <row r="838">
      <c r="J838" s="2"/>
    </row>
    <row r="839">
      <c r="J839" s="2"/>
    </row>
    <row r="840">
      <c r="J840" s="2"/>
    </row>
    <row r="841">
      <c r="J841" s="2"/>
    </row>
    <row r="842">
      <c r="J842" s="2"/>
    </row>
    <row r="843">
      <c r="J843" s="2"/>
    </row>
    <row r="844">
      <c r="J844" s="2"/>
    </row>
    <row r="845">
      <c r="J845" s="2"/>
    </row>
    <row r="846">
      <c r="J846" s="2"/>
    </row>
    <row r="847">
      <c r="J847" s="2"/>
    </row>
    <row r="848">
      <c r="J848" s="2"/>
    </row>
    <row r="849">
      <c r="J849" s="2"/>
    </row>
    <row r="850">
      <c r="J850" s="2"/>
    </row>
    <row r="851">
      <c r="J851" s="2"/>
    </row>
    <row r="852">
      <c r="J852" s="2"/>
    </row>
    <row r="853">
      <c r="J853" s="2"/>
    </row>
    <row r="854">
      <c r="J854" s="2"/>
    </row>
    <row r="855">
      <c r="J855" s="2"/>
    </row>
    <row r="856">
      <c r="J856" s="2"/>
    </row>
    <row r="857">
      <c r="J857" s="2"/>
    </row>
    <row r="858">
      <c r="J858" s="2"/>
    </row>
    <row r="859">
      <c r="J859" s="2"/>
    </row>
    <row r="860">
      <c r="J860" s="2"/>
    </row>
    <row r="861">
      <c r="J861" s="2"/>
    </row>
    <row r="862">
      <c r="J862" s="2"/>
    </row>
    <row r="863">
      <c r="J863" s="2"/>
    </row>
    <row r="864">
      <c r="J864" s="2"/>
    </row>
    <row r="865">
      <c r="J865" s="2"/>
    </row>
    <row r="866">
      <c r="J866" s="2"/>
    </row>
    <row r="867">
      <c r="J867" s="2"/>
    </row>
    <row r="868">
      <c r="J868" s="2"/>
    </row>
    <row r="869">
      <c r="J869" s="2"/>
    </row>
    <row r="870">
      <c r="J870" s="2"/>
    </row>
    <row r="871">
      <c r="J871" s="2"/>
    </row>
    <row r="872">
      <c r="J872" s="2"/>
    </row>
    <row r="873">
      <c r="J873" s="2"/>
    </row>
    <row r="874">
      <c r="J874" s="2"/>
    </row>
    <row r="875">
      <c r="J875" s="2"/>
    </row>
    <row r="876">
      <c r="J876" s="2"/>
    </row>
    <row r="877">
      <c r="J877" s="2"/>
    </row>
    <row r="878">
      <c r="J878" s="2"/>
    </row>
    <row r="879">
      <c r="J879" s="2"/>
    </row>
    <row r="880">
      <c r="J880" s="2"/>
    </row>
    <row r="881">
      <c r="J881" s="2"/>
    </row>
    <row r="882">
      <c r="J882" s="2"/>
    </row>
    <row r="883">
      <c r="J883" s="2"/>
    </row>
    <row r="884">
      <c r="J884" s="2"/>
    </row>
    <row r="885">
      <c r="J885" s="2"/>
    </row>
    <row r="886">
      <c r="J886" s="2"/>
    </row>
    <row r="887">
      <c r="J887" s="2"/>
    </row>
    <row r="888">
      <c r="J888" s="2"/>
    </row>
    <row r="889">
      <c r="J889" s="2"/>
    </row>
    <row r="890">
      <c r="J890" s="2"/>
    </row>
    <row r="891">
      <c r="J891" s="2"/>
    </row>
    <row r="892">
      <c r="J892" s="2"/>
    </row>
    <row r="893">
      <c r="J893" s="2"/>
    </row>
    <row r="894">
      <c r="J894" s="2"/>
    </row>
    <row r="895">
      <c r="J895" s="2"/>
    </row>
    <row r="896">
      <c r="J896" s="2"/>
    </row>
    <row r="897">
      <c r="J897" s="2"/>
    </row>
    <row r="898">
      <c r="J898" s="2"/>
    </row>
    <row r="899">
      <c r="J899" s="2"/>
    </row>
    <row r="900">
      <c r="J900" s="2"/>
    </row>
    <row r="901">
      <c r="J901" s="2"/>
    </row>
    <row r="902">
      <c r="J902" s="2"/>
    </row>
    <row r="903">
      <c r="J903" s="2"/>
    </row>
    <row r="904">
      <c r="J904" s="2"/>
    </row>
    <row r="905">
      <c r="J905" s="2"/>
    </row>
    <row r="906">
      <c r="J906" s="2"/>
    </row>
    <row r="907">
      <c r="J907" s="2"/>
    </row>
    <row r="908">
      <c r="J908" s="2"/>
    </row>
    <row r="909">
      <c r="J909" s="2"/>
    </row>
    <row r="910">
      <c r="J910" s="2"/>
    </row>
    <row r="911">
      <c r="J911" s="2"/>
    </row>
    <row r="912">
      <c r="J912" s="2"/>
    </row>
    <row r="913">
      <c r="J913" s="2"/>
    </row>
    <row r="914">
      <c r="J914" s="2"/>
    </row>
    <row r="915">
      <c r="J915" s="2"/>
    </row>
    <row r="916">
      <c r="J916" s="2"/>
    </row>
    <row r="917">
      <c r="J917" s="2"/>
    </row>
    <row r="918">
      <c r="J918" s="2"/>
    </row>
    <row r="919">
      <c r="J919" s="2"/>
    </row>
    <row r="920">
      <c r="J920" s="2"/>
    </row>
    <row r="921">
      <c r="J921" s="2"/>
    </row>
    <row r="922">
      <c r="J922" s="2"/>
    </row>
    <row r="923">
      <c r="J923" s="2"/>
    </row>
    <row r="924">
      <c r="J924" s="2"/>
    </row>
    <row r="925">
      <c r="J925" s="2"/>
    </row>
    <row r="926">
      <c r="J926" s="2"/>
    </row>
    <row r="927">
      <c r="J927" s="2"/>
    </row>
    <row r="928">
      <c r="J928" s="2"/>
    </row>
    <row r="929">
      <c r="J929" s="2"/>
    </row>
    <row r="930">
      <c r="J930" s="2"/>
    </row>
    <row r="931">
      <c r="J931" s="2"/>
    </row>
    <row r="932">
      <c r="J932" s="2"/>
    </row>
    <row r="933">
      <c r="J933" s="2"/>
    </row>
    <row r="934">
      <c r="J934" s="2"/>
    </row>
    <row r="935">
      <c r="J935" s="2"/>
    </row>
    <row r="936">
      <c r="J936" s="2"/>
    </row>
    <row r="937">
      <c r="J937" s="2"/>
    </row>
    <row r="938">
      <c r="J938" s="2"/>
    </row>
    <row r="939">
      <c r="J939" s="2"/>
    </row>
    <row r="940">
      <c r="J940" s="2"/>
    </row>
    <row r="941">
      <c r="J941" s="2"/>
    </row>
    <row r="942">
      <c r="J942" s="2"/>
    </row>
    <row r="943">
      <c r="J943" s="2"/>
    </row>
    <row r="944">
      <c r="J944" s="2"/>
    </row>
    <row r="945">
      <c r="J945" s="2"/>
    </row>
    <row r="946">
      <c r="J946" s="2"/>
    </row>
    <row r="947">
      <c r="J947" s="2"/>
    </row>
    <row r="948">
      <c r="J948" s="2"/>
    </row>
    <row r="949">
      <c r="J949" s="2"/>
    </row>
    <row r="950">
      <c r="J950" s="2"/>
    </row>
    <row r="951">
      <c r="J951" s="2"/>
    </row>
    <row r="952">
      <c r="J952" s="2"/>
    </row>
    <row r="953">
      <c r="J953" s="2"/>
    </row>
    <row r="954">
      <c r="J954" s="2"/>
    </row>
    <row r="955">
      <c r="J955" s="2"/>
    </row>
    <row r="956">
      <c r="J956" s="2"/>
    </row>
    <row r="957">
      <c r="J957" s="2"/>
    </row>
    <row r="958">
      <c r="J958" s="2"/>
    </row>
    <row r="959">
      <c r="J959" s="2"/>
    </row>
    <row r="960">
      <c r="J960" s="2"/>
    </row>
    <row r="961">
      <c r="J961" s="2"/>
    </row>
    <row r="962">
      <c r="J962" s="2"/>
    </row>
    <row r="963">
      <c r="J963" s="2"/>
    </row>
    <row r="964">
      <c r="J964" s="2"/>
    </row>
    <row r="965">
      <c r="J965" s="2"/>
    </row>
    <row r="966">
      <c r="J966" s="2"/>
    </row>
    <row r="967">
      <c r="J967" s="2"/>
    </row>
    <row r="968">
      <c r="J968" s="2"/>
    </row>
    <row r="969">
      <c r="J969" s="2"/>
    </row>
    <row r="970">
      <c r="J970" s="2"/>
    </row>
    <row r="971">
      <c r="J971" s="2"/>
    </row>
    <row r="972">
      <c r="J972" s="2"/>
    </row>
    <row r="973">
      <c r="J973" s="2"/>
    </row>
    <row r="974">
      <c r="J974" s="2"/>
    </row>
    <row r="975">
      <c r="J975" s="2"/>
    </row>
    <row r="976">
      <c r="J976" s="2"/>
    </row>
    <row r="977">
      <c r="J977" s="2"/>
    </row>
    <row r="978">
      <c r="J978" s="2"/>
    </row>
    <row r="979">
      <c r="J979" s="2"/>
    </row>
    <row r="980">
      <c r="J980" s="2"/>
    </row>
    <row r="981">
      <c r="J981" s="2"/>
    </row>
    <row r="982">
      <c r="J982" s="2"/>
    </row>
    <row r="983">
      <c r="J983" s="2"/>
    </row>
    <row r="984">
      <c r="J984" s="2"/>
    </row>
    <row r="985">
      <c r="J985" s="2"/>
    </row>
    <row r="986">
      <c r="J986" s="2"/>
    </row>
    <row r="987">
      <c r="J987" s="2"/>
    </row>
    <row r="988">
      <c r="J988" s="2"/>
    </row>
    <row r="989">
      <c r="J989" s="2"/>
    </row>
    <row r="990">
      <c r="J990" s="2"/>
    </row>
    <row r="991">
      <c r="J991" s="2"/>
    </row>
    <row r="992">
      <c r="J992" s="2"/>
    </row>
    <row r="993">
      <c r="J993" s="2"/>
    </row>
    <row r="994">
      <c r="J994" s="2"/>
    </row>
    <row r="995">
      <c r="J995" s="2"/>
    </row>
    <row r="996">
      <c r="J996" s="2"/>
    </row>
    <row r="997">
      <c r="J997" s="2"/>
    </row>
    <row r="998">
      <c r="J998" s="2"/>
    </row>
    <row r="999">
      <c r="J999" s="2"/>
    </row>
    <row r="1000">
      <c r="J1000" s="2"/>
    </row>
  </sheetData>
  <mergeCells count="6">
    <mergeCell ref="C2:K2"/>
    <mergeCell ref="E8:F8"/>
    <mergeCell ref="E16:F16"/>
    <mergeCell ref="C26:G26"/>
    <mergeCell ref="E40:F40"/>
    <mergeCell ref="C49:G49"/>
  </mergeCells>
  <dataValidations>
    <dataValidation type="list" allowBlank="1" showErrorMessage="1" sqref="D4 D28">
      <formula1>"dhr.,mw."</formula1>
    </dataValidation>
    <dataValidation type="list" allowBlank="1" showErrorMessage="1" sqref="J10 J12 F57 F59">
      <formula1>"month,year,week"</formula1>
    </dataValidation>
    <dataValidation type="list" allowBlank="1" showErrorMessage="1" sqref="J16 F63">
      <formula1>"per week,per month,per year"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0.38"/>
    <col customWidth="1" min="3" max="3" width="16.63"/>
    <col customWidth="1" min="4" max="4" width="25.88"/>
    <col customWidth="1" min="5" max="5" width="3.88"/>
    <col customWidth="1" min="6" max="6" width="7.13"/>
    <col customWidth="1" min="7" max="7" width="18.5"/>
    <col customWidth="1" min="8" max="8" width="17.13"/>
    <col customWidth="1" min="9" max="9" width="8.5"/>
    <col customWidth="1" min="10" max="10" width="8.0"/>
    <col customWidth="1" min="11" max="11" width="0.38"/>
  </cols>
  <sheetData>
    <row r="1" ht="2.25" customHeight="1">
      <c r="A1" s="52" t="s">
        <v>27</v>
      </c>
      <c r="B1" s="53"/>
      <c r="C1" s="54"/>
      <c r="D1" s="54"/>
      <c r="E1" s="54"/>
      <c r="F1" s="54"/>
      <c r="G1" s="54"/>
      <c r="H1" s="54"/>
      <c r="I1" s="54"/>
      <c r="J1" s="54"/>
      <c r="K1" s="54"/>
    </row>
    <row r="2">
      <c r="A2" s="55"/>
      <c r="B2" s="54"/>
      <c r="C2" s="56" t="s">
        <v>28</v>
      </c>
      <c r="D2" s="55"/>
      <c r="E2" s="55"/>
      <c r="F2" s="55"/>
      <c r="G2" s="55"/>
      <c r="H2" s="55"/>
      <c r="I2" s="55"/>
      <c r="J2" s="55"/>
      <c r="K2" s="54"/>
      <c r="L2" s="57"/>
      <c r="M2" s="58"/>
      <c r="N2" s="58"/>
      <c r="O2" s="58"/>
      <c r="P2" s="58"/>
      <c r="Q2" s="57"/>
    </row>
    <row r="3">
      <c r="A3" s="55"/>
      <c r="B3" s="54"/>
      <c r="C3" s="59" t="s">
        <v>29</v>
      </c>
      <c r="D3" s="60" t="str">
        <f>VLOOKUP($D$4,Employee!$A$3:$T$37,1,false)</f>
        <v>dhr. G. Aslan</v>
      </c>
      <c r="E3" s="55"/>
      <c r="F3" s="55"/>
      <c r="G3" s="59" t="s">
        <v>30</v>
      </c>
      <c r="H3" s="61" t="s">
        <v>31</v>
      </c>
      <c r="J3" s="55"/>
      <c r="K3" s="54"/>
      <c r="L3" s="57"/>
      <c r="M3" s="58" t="str">
        <f>IF(VLOOKUP($D$4,Employee!$A$3:$T$37,2,false)="de heer","heer","mevrouw")</f>
        <v>heer</v>
      </c>
      <c r="N3" s="58" t="str">
        <f>VLOOKUP($D$4,Employee!$A$3:$T$37,3,false)&amp;" "&amp;VLOOKUP($D$4,Employee!$A$3:$T$37,4,false)</f>
        <v>G. Aslan</v>
      </c>
      <c r="O3" s="58"/>
      <c r="P3" s="58"/>
      <c r="Q3" s="57"/>
    </row>
    <row r="4">
      <c r="A4" s="55"/>
      <c r="B4" s="54"/>
      <c r="C4" s="60" t="s">
        <v>32</v>
      </c>
      <c r="D4" s="62" t="s">
        <v>33</v>
      </c>
      <c r="E4" s="55"/>
      <c r="F4" s="55"/>
      <c r="G4" s="60" t="s">
        <v>34</v>
      </c>
      <c r="H4" s="60" t="str">
        <f>VLOOKUP($H$3,CRM,1,TRUE)</f>
        <v>DeNeX Uitzendbureau B.V.</v>
      </c>
      <c r="I4" s="60"/>
      <c r="J4" s="60"/>
      <c r="K4" s="54"/>
      <c r="L4" s="57"/>
      <c r="M4" s="58" t="str">
        <f>VLOOKUP($D$4,Employee!$A$3:$T$37,2,false)&amp;" "&amp;VLOOKUP($D$4,Employee!$A$3:$T$37,3,false)&amp;" "&amp;VLOOKUP($D$4,Employee!$A$3:$T$37,4,false)</f>
        <v>de heer G. Aslan</v>
      </c>
      <c r="N4" s="58"/>
      <c r="O4" s="58" t="str">
        <f>VLOOKUP($D$4,Employee!$A$3:$T$37,4,false)&amp;", "&amp;VLOOKUP($D$4,Employee!$A$3:$T$37,3,false)</f>
        <v>Aslan, G.</v>
      </c>
      <c r="P4" s="58"/>
      <c r="Q4" s="57"/>
    </row>
    <row r="5">
      <c r="A5" s="55"/>
      <c r="B5" s="54"/>
      <c r="C5" s="60" t="s">
        <v>35</v>
      </c>
      <c r="D5" s="60" t="str">
        <f>VLOOKUP($D$4,Employee!$A$3:$T$37,5,false)</f>
        <v>Bikscotelaan 248 /2/2140 Borgerhout</v>
      </c>
      <c r="E5" s="55"/>
      <c r="F5" s="55"/>
      <c r="G5" s="60" t="s">
        <v>32</v>
      </c>
      <c r="H5" s="60" t="str">
        <f>VLOOKUP($H$3,CRM,13,TRUE)&amp;" "&amp;VLOOKUP($H$3,CRM,3,TRUE)&amp;" "&amp;VLOOKUP($H$3,CRM,15,TRUE)</f>
        <v>Hr. D.O. Ibryam</v>
      </c>
      <c r="I5" s="55"/>
      <c r="J5" s="55"/>
      <c r="K5" s="54"/>
      <c r="L5" s="57"/>
      <c r="M5" s="58" t="str">
        <f>IF(VLOOKUP($H$3,CRM,13,TRUE)="Mw.","mevrouw ","de heer ")&amp;VLOOKUP($H$3,CRM,3,TRUE)&amp;" "&amp;VLOOKUP($H$3,CRM,15,TRUE)</f>
        <v>de heer D.O. Ibryam</v>
      </c>
      <c r="N5" s="58" t="str">
        <f>IF(VLOOKUP($H$3,CRM,13,TRUE)="Mw.","mevrouw ","heer ")&amp;VLOOKUP($H$3,CRM,3,TRUE)&amp;" "&amp;VLOOKUP($H$3,CRM,15,TRUE)</f>
        <v>heer D.O. Ibryam</v>
      </c>
      <c r="O5" s="58"/>
      <c r="P5" s="58"/>
      <c r="Q5" s="57"/>
    </row>
    <row r="6">
      <c r="A6" s="55"/>
      <c r="B6" s="54"/>
      <c r="C6" s="60" t="s">
        <v>36</v>
      </c>
      <c r="D6" s="60" t="str">
        <f>LEFT(VLOOKUP($D$4,Employee!$A$3:$T$37,6,false),7)</f>
        <v>2140 An</v>
      </c>
      <c r="E6" s="55"/>
      <c r="F6" s="55"/>
      <c r="G6" s="60" t="s">
        <v>35</v>
      </c>
      <c r="H6" s="60" t="str">
        <f>VLOOKUP($H$3,CRM,6,TRUE)</f>
        <v>Gebroken Meeldijk 66, Unit 1.15</v>
      </c>
      <c r="I6" s="60"/>
      <c r="J6" s="55"/>
      <c r="K6" s="54"/>
      <c r="L6" s="57"/>
      <c r="M6" s="58"/>
      <c r="N6" s="58"/>
      <c r="O6" s="58"/>
      <c r="P6" s="58"/>
      <c r="Q6" s="57"/>
    </row>
    <row r="7">
      <c r="A7" s="55"/>
      <c r="B7" s="54"/>
      <c r="C7" s="60" t="s">
        <v>37</v>
      </c>
      <c r="D7" s="60" t="str">
        <f>TRIM(MID(VLOOKUP($D$4,Employee!$A$3:$T$37,6,FALSE),8,LEN(VLOOKUP($D$4,Employee!$A$3:$T$37,6,FALSE))))</f>
        <v>twerp</v>
      </c>
      <c r="E7" s="55"/>
      <c r="F7" s="55"/>
      <c r="G7" s="60" t="s">
        <v>36</v>
      </c>
      <c r="H7" s="60" t="str">
        <f>VLOOKUP($H$3,CRM,8,TRUE)</f>
        <v>2991 VD</v>
      </c>
      <c r="I7" s="55"/>
      <c r="J7" s="55"/>
      <c r="K7" s="54"/>
      <c r="L7" s="57"/>
      <c r="M7" s="58"/>
      <c r="N7" s="58"/>
      <c r="O7" s="58"/>
      <c r="P7" s="58"/>
      <c r="Q7" s="57"/>
    </row>
    <row r="8">
      <c r="A8" s="55"/>
      <c r="B8" s="54"/>
      <c r="C8" s="60" t="s">
        <v>38</v>
      </c>
      <c r="D8" s="63">
        <f>VLOOKUP($D$4,Employee!$A$3:$T$37,13,false)</f>
        <v>29310</v>
      </c>
      <c r="E8" s="55"/>
      <c r="F8" s="55"/>
      <c r="G8" s="60" t="s">
        <v>37</v>
      </c>
      <c r="H8" s="60" t="str">
        <f>VLOOKUP($H$3,CRM,7,TRUE)</f>
        <v>Barendrecht</v>
      </c>
      <c r="I8" s="55"/>
      <c r="J8" s="55"/>
      <c r="K8" s="54"/>
      <c r="L8" s="57"/>
      <c r="M8" s="58"/>
      <c r="N8" s="58"/>
      <c r="O8" s="58"/>
      <c r="P8" s="58"/>
      <c r="Q8" s="57"/>
    </row>
    <row r="9">
      <c r="A9" s="55"/>
      <c r="B9" s="54"/>
      <c r="C9" s="60" t="s">
        <v>39</v>
      </c>
      <c r="D9" s="60">
        <f>VLOOKUP($D$4,Employee!$A$3:$T$37,11,false)</f>
        <v>235116026</v>
      </c>
      <c r="E9" s="55"/>
      <c r="F9" s="55"/>
      <c r="G9" s="60" t="s">
        <v>40</v>
      </c>
      <c r="H9" s="64" t="str">
        <f>VLOOKUP($H$3,CRM,9,TRUE)</f>
        <v>+31628813127</v>
      </c>
      <c r="I9" s="55"/>
      <c r="J9" s="55"/>
      <c r="K9" s="54"/>
      <c r="L9" s="57"/>
      <c r="M9" s="58" t="str">
        <f>VLOOKUP($H$3,CRM,11,TRUE)</f>
        <v>NL</v>
      </c>
      <c r="N9" s="58"/>
      <c r="O9" s="58"/>
      <c r="P9" s="58"/>
      <c r="Q9" s="57"/>
    </row>
    <row r="10">
      <c r="A10" s="55"/>
      <c r="B10" s="54"/>
      <c r="C10" s="55"/>
      <c r="D10" s="55"/>
      <c r="E10" s="55"/>
      <c r="F10" s="55"/>
      <c r="G10" s="60" t="s">
        <v>41</v>
      </c>
      <c r="H10" s="60" t="str">
        <f>VLOOKUP($H$3,CRM,12,TRUE)</f>
        <v>NL863179344B01</v>
      </c>
      <c r="I10" s="55"/>
      <c r="J10" s="55"/>
      <c r="K10" s="54"/>
      <c r="L10" s="57"/>
      <c r="M10" s="58"/>
      <c r="N10" s="58"/>
      <c r="O10" s="58"/>
      <c r="P10" s="58"/>
      <c r="Q10" s="57"/>
    </row>
    <row r="11">
      <c r="A11" s="55"/>
      <c r="B11" s="54"/>
      <c r="C11" s="60" t="s">
        <v>42</v>
      </c>
      <c r="D11" s="63">
        <f>VLOOKUP($D$4,Employee!$A$3:$T$37,14,false)</f>
        <v>45979</v>
      </c>
      <c r="E11" s="55"/>
      <c r="F11" s="55"/>
      <c r="G11" s="60" t="s">
        <v>43</v>
      </c>
      <c r="H11" s="60">
        <f>VLOOKUP($H$3,CRM,10,TRUE)</f>
        <v>84349735</v>
      </c>
      <c r="I11" s="55"/>
      <c r="J11" s="55"/>
      <c r="K11" s="54"/>
      <c r="L11" s="57"/>
      <c r="M11" s="57"/>
      <c r="N11" s="57"/>
      <c r="O11" s="57"/>
      <c r="P11" s="57"/>
      <c r="Q11" s="57"/>
    </row>
    <row r="12">
      <c r="A12" s="55"/>
      <c r="B12" s="54"/>
      <c r="C12" s="60" t="s">
        <v>44</v>
      </c>
      <c r="D12" s="63">
        <f>VLOOKUP($D$4,Employee!$A$3:$T$37,16,false)</f>
        <v>46159</v>
      </c>
      <c r="E12" s="55"/>
      <c r="F12" s="55"/>
      <c r="G12" s="55"/>
      <c r="H12" s="55"/>
      <c r="I12" s="55"/>
      <c r="J12" s="55"/>
      <c r="K12" s="54"/>
      <c r="L12" s="57"/>
      <c r="M12" s="57"/>
      <c r="N12" s="57"/>
      <c r="O12" s="57"/>
      <c r="P12" s="57"/>
      <c r="Q12" s="57"/>
    </row>
    <row r="13">
      <c r="A13" s="55"/>
      <c r="B13" s="54"/>
      <c r="C13" s="60" t="s">
        <v>45</v>
      </c>
      <c r="D13" s="60" t="str">
        <f>VLOOKUP($D$4,Employee!$A$3:$T$37,20,false)</f>
        <v>Chauffeur</v>
      </c>
      <c r="E13" s="55"/>
      <c r="F13" s="55"/>
      <c r="G13" s="55"/>
      <c r="H13" s="55"/>
      <c r="I13" s="55"/>
      <c r="J13" s="55"/>
      <c r="K13" s="54"/>
      <c r="L13" s="57"/>
      <c r="M13" s="57"/>
      <c r="N13" s="57"/>
      <c r="O13" s="57"/>
      <c r="P13" s="57"/>
      <c r="Q13" s="57"/>
    </row>
    <row r="14">
      <c r="A14" s="55"/>
      <c r="B14" s="54"/>
      <c r="C14" s="60" t="s">
        <v>46</v>
      </c>
      <c r="D14" s="60" t="str">
        <f>VLOOKUP($D$4,Employee!$A$3:$T$37,17,false)</f>
        <v/>
      </c>
      <c r="E14" s="55"/>
      <c r="F14" s="65">
        <f>EDATE(D11,VALUE(LEFT(D14,2)))</f>
        <v>45979</v>
      </c>
      <c r="G14" s="59" t="s">
        <v>47</v>
      </c>
      <c r="H14" s="66" t="s">
        <v>48</v>
      </c>
      <c r="I14" s="55"/>
      <c r="J14" s="55"/>
      <c r="K14" s="54"/>
      <c r="L14" s="57"/>
      <c r="M14" s="57"/>
      <c r="N14" s="57"/>
      <c r="O14" s="57"/>
      <c r="P14" s="57"/>
      <c r="Q14" s="57"/>
    </row>
    <row r="15">
      <c r="A15" s="55"/>
      <c r="B15" s="54"/>
      <c r="C15" s="60" t="s">
        <v>49</v>
      </c>
      <c r="D15" s="60" t="str">
        <f>VLOOKUP($D$4,Employee!$A$3:$T$37,19,false)</f>
        <v>40 uur per week</v>
      </c>
      <c r="E15" s="55"/>
      <c r="F15" s="55"/>
      <c r="G15" s="60" t="s">
        <v>50</v>
      </c>
      <c r="H15" s="66">
        <v>6.0</v>
      </c>
      <c r="I15" s="67"/>
      <c r="J15" s="55"/>
      <c r="K15" s="54"/>
      <c r="L15" s="57"/>
      <c r="M15" s="57"/>
      <c r="N15" s="57"/>
      <c r="O15" s="57"/>
      <c r="P15" s="57"/>
      <c r="Q15" s="57"/>
    </row>
    <row r="16">
      <c r="A16" s="55"/>
      <c r="B16" s="54"/>
      <c r="C16" s="60" t="s">
        <v>51</v>
      </c>
      <c r="D16" s="68" t="s">
        <v>52</v>
      </c>
      <c r="E16" s="55"/>
      <c r="F16" s="55"/>
      <c r="G16" s="60" t="s">
        <v>53</v>
      </c>
      <c r="H16" s="69">
        <v>40.0</v>
      </c>
      <c r="I16" s="70"/>
      <c r="J16" s="55"/>
      <c r="K16" s="54"/>
      <c r="L16" s="57"/>
      <c r="M16" s="57"/>
      <c r="N16" s="57"/>
      <c r="O16" s="57"/>
      <c r="P16" s="57"/>
      <c r="Q16" s="57"/>
    </row>
    <row r="17">
      <c r="A17" s="55"/>
      <c r="B17" s="54"/>
      <c r="C17" s="60" t="s">
        <v>54</v>
      </c>
      <c r="D17" s="71" t="s">
        <v>55</v>
      </c>
      <c r="E17" s="55"/>
      <c r="F17" s="55"/>
      <c r="G17" s="55"/>
      <c r="H17" s="55"/>
      <c r="I17" s="55"/>
      <c r="J17" s="55"/>
      <c r="K17" s="54"/>
      <c r="L17" s="57"/>
      <c r="M17" s="57"/>
      <c r="N17" s="57"/>
      <c r="O17" s="57"/>
      <c r="P17" s="57"/>
      <c r="Q17" s="57"/>
    </row>
    <row r="18">
      <c r="A18" s="55"/>
      <c r="B18" s="54"/>
      <c r="C18" s="60" t="s">
        <v>56</v>
      </c>
      <c r="D18" s="72" t="s">
        <v>57</v>
      </c>
      <c r="E18" s="55"/>
      <c r="F18" s="55"/>
      <c r="G18" s="55"/>
      <c r="H18" s="55"/>
      <c r="I18" s="55"/>
      <c r="J18" s="55"/>
      <c r="K18" s="54"/>
      <c r="L18" s="57"/>
      <c r="M18" s="57"/>
      <c r="N18" s="57"/>
      <c r="O18" s="57"/>
      <c r="P18" s="57"/>
      <c r="Q18" s="57"/>
    </row>
    <row r="19">
      <c r="A19" s="55"/>
      <c r="B19" s="54"/>
      <c r="C19" s="60" t="s">
        <v>58</v>
      </c>
      <c r="D19" s="73">
        <v>350.0</v>
      </c>
      <c r="E19" s="60" t="s">
        <v>59</v>
      </c>
      <c r="G19" s="60" t="s">
        <v>60</v>
      </c>
      <c r="H19" s="74">
        <v>423.5</v>
      </c>
      <c r="I19" s="60" t="s">
        <v>59</v>
      </c>
      <c r="J19" s="55"/>
      <c r="K19" s="54"/>
      <c r="L19" s="57"/>
      <c r="M19" s="57"/>
      <c r="N19" s="57"/>
      <c r="O19" s="57"/>
      <c r="P19" s="57"/>
      <c r="Q19" s="57"/>
    </row>
    <row r="20">
      <c r="A20" s="55"/>
      <c r="B20" s="54"/>
      <c r="C20" s="55"/>
      <c r="D20" s="55"/>
      <c r="E20" s="55"/>
      <c r="F20" s="55"/>
      <c r="G20" s="55"/>
      <c r="H20" s="55"/>
      <c r="I20" s="55"/>
      <c r="J20" s="55"/>
      <c r="K20" s="54"/>
      <c r="L20" s="57"/>
      <c r="M20" s="57"/>
      <c r="N20" s="57"/>
      <c r="O20" s="57"/>
      <c r="P20" s="57"/>
      <c r="Q20" s="57"/>
    </row>
    <row r="21">
      <c r="A21" s="55"/>
      <c r="B21" s="54"/>
      <c r="C21" s="60" t="s">
        <v>61</v>
      </c>
      <c r="D21" s="60" t="str">
        <f>VLOOKUP($G$21,Schalen25,2,TRUE)</f>
        <v>D</v>
      </c>
      <c r="E21" s="55"/>
      <c r="F21" s="55"/>
      <c r="G21" s="62" t="s">
        <v>62</v>
      </c>
      <c r="H21" s="55"/>
      <c r="I21" s="55"/>
      <c r="J21" s="55"/>
      <c r="K21" s="54"/>
      <c r="L21" s="57"/>
      <c r="M21" s="57"/>
      <c r="N21" s="57"/>
      <c r="O21" s="57"/>
      <c r="P21" s="57"/>
      <c r="Q21" s="57"/>
    </row>
    <row r="22">
      <c r="A22" s="55"/>
      <c r="B22" s="54"/>
      <c r="C22" s="60" t="s">
        <v>63</v>
      </c>
      <c r="D22" s="75">
        <f>VLOOKUP($G$21,Schalen25,3,TRUE)</f>
        <v>5</v>
      </c>
      <c r="E22" s="55"/>
      <c r="F22" s="55"/>
      <c r="G22" s="60" t="s">
        <v>64</v>
      </c>
      <c r="H22" s="76">
        <f>VLOOKUP($G$21,Schalen25,4,TRUE)</f>
        <v>748.58</v>
      </c>
      <c r="I22" s="67"/>
      <c r="J22" s="55"/>
      <c r="K22" s="54"/>
      <c r="L22" s="57"/>
      <c r="M22" s="57"/>
      <c r="N22" s="57"/>
      <c r="O22" s="57"/>
      <c r="P22" s="57"/>
      <c r="Q22" s="57"/>
    </row>
    <row r="23">
      <c r="A23" s="55"/>
      <c r="B23" s="54"/>
      <c r="C23" s="60" t="s">
        <v>65</v>
      </c>
      <c r="D23" s="75">
        <f>VLOOKUP($G$21,Schalen25,7,TRUE)</f>
        <v>18.71</v>
      </c>
      <c r="E23" s="55"/>
      <c r="F23" s="55"/>
      <c r="G23" s="60" t="s">
        <v>66</v>
      </c>
      <c r="H23" s="76">
        <f>VLOOKUP($G$21,Schalen25,5,TRUE)</f>
        <v>2994.32</v>
      </c>
      <c r="I23" s="67"/>
      <c r="J23" s="55"/>
      <c r="K23" s="54"/>
      <c r="L23" s="57"/>
      <c r="M23" s="57"/>
      <c r="N23" s="57"/>
      <c r="O23" s="57"/>
      <c r="P23" s="57"/>
      <c r="Q23" s="57"/>
    </row>
    <row r="24">
      <c r="A24" s="55"/>
      <c r="B24" s="54"/>
      <c r="C24" s="60" t="s">
        <v>67</v>
      </c>
      <c r="D24" s="77">
        <f>D23</f>
        <v>18.71</v>
      </c>
      <c r="E24" s="55"/>
      <c r="F24" s="55"/>
      <c r="G24" s="55"/>
      <c r="H24" s="78"/>
      <c r="I24" s="67"/>
      <c r="J24" s="55"/>
      <c r="K24" s="54"/>
      <c r="L24" s="57"/>
      <c r="M24" s="57"/>
      <c r="N24" s="57"/>
      <c r="O24" s="57"/>
      <c r="P24" s="57"/>
      <c r="Q24" s="57"/>
    </row>
    <row r="25">
      <c r="A25" s="55"/>
      <c r="B25" s="54"/>
      <c r="C25" s="60" t="s">
        <v>68</v>
      </c>
      <c r="D25" s="79">
        <v>0.23</v>
      </c>
      <c r="E25" s="55"/>
      <c r="F25" s="55"/>
      <c r="G25" s="60" t="s">
        <v>69</v>
      </c>
      <c r="H25" s="76">
        <f>VLOOKUP($G$21,Schalen25,6,TRUE)</f>
        <v>3254.83</v>
      </c>
      <c r="I25" s="67"/>
      <c r="J25" s="55"/>
      <c r="K25" s="54"/>
      <c r="L25" s="57"/>
      <c r="M25" s="57"/>
      <c r="N25" s="57"/>
      <c r="O25" s="57"/>
      <c r="P25" s="57"/>
      <c r="Q25" s="57"/>
    </row>
    <row r="26">
      <c r="A26" s="55"/>
      <c r="B26" s="54"/>
      <c r="C26" s="60" t="s">
        <v>70</v>
      </c>
      <c r="D26" s="79">
        <v>100.0</v>
      </c>
      <c r="E26" s="55"/>
      <c r="F26" s="55"/>
      <c r="G26" s="60" t="s">
        <v>71</v>
      </c>
      <c r="H26" s="76">
        <f>VLOOKUP($G$21,Schalen25,8,TRUE)</f>
        <v>24.32</v>
      </c>
      <c r="I26" s="67"/>
      <c r="J26" s="55"/>
      <c r="K26" s="54"/>
      <c r="L26" s="57"/>
      <c r="M26" s="57"/>
      <c r="N26" s="57"/>
      <c r="O26" s="57"/>
      <c r="P26" s="57"/>
      <c r="Q26" s="57"/>
    </row>
    <row r="27">
      <c r="A27" s="55"/>
      <c r="B27" s="54"/>
      <c r="C27" s="55"/>
      <c r="D27" s="55"/>
      <c r="E27" s="55"/>
      <c r="F27" s="55"/>
      <c r="G27" s="60" t="s">
        <v>72</v>
      </c>
      <c r="H27" s="76">
        <f>VLOOKUP($G$21,Schalen25,9,TRUE)</f>
        <v>28.07</v>
      </c>
      <c r="I27" s="67"/>
      <c r="J27" s="55"/>
      <c r="K27" s="54"/>
      <c r="L27" s="57"/>
      <c r="M27" s="57"/>
      <c r="N27" s="57"/>
      <c r="O27" s="57"/>
      <c r="P27" s="57"/>
      <c r="Q27" s="57"/>
    </row>
    <row r="28">
      <c r="A28" s="55"/>
      <c r="B28" s="54"/>
      <c r="C28" s="60" t="s">
        <v>73</v>
      </c>
      <c r="D28" s="80" t="s">
        <v>74</v>
      </c>
      <c r="E28" s="55"/>
      <c r="F28" s="55"/>
      <c r="G28" s="55"/>
      <c r="H28" s="55"/>
      <c r="I28" s="55"/>
      <c r="J28" s="55"/>
      <c r="K28" s="54"/>
      <c r="L28" s="57"/>
      <c r="M28" s="57"/>
      <c r="N28" s="57"/>
      <c r="O28" s="57"/>
      <c r="P28" s="57"/>
      <c r="Q28" s="57"/>
    </row>
    <row r="29">
      <c r="A29" s="55"/>
      <c r="B29" s="54"/>
      <c r="C29" s="60" t="s">
        <v>75</v>
      </c>
      <c r="D29" s="81">
        <f>D11-1</f>
        <v>45978</v>
      </c>
      <c r="E29" s="55"/>
      <c r="F29" s="55"/>
      <c r="G29" s="55"/>
      <c r="H29" s="55"/>
      <c r="I29" s="55"/>
      <c r="J29" s="55"/>
      <c r="K29" s="54"/>
      <c r="L29" s="57"/>
      <c r="M29" s="57"/>
      <c r="N29" s="57"/>
      <c r="O29" s="57"/>
      <c r="P29" s="57"/>
      <c r="Q29" s="57"/>
    </row>
    <row r="30">
      <c r="A30" s="55"/>
      <c r="B30" s="54"/>
      <c r="C30" s="55"/>
      <c r="D30" s="55"/>
      <c r="E30" s="55"/>
      <c r="F30" s="55"/>
      <c r="G30" s="82" t="s">
        <v>76</v>
      </c>
      <c r="H30" s="83">
        <f>YEAR(NOW())-YEAR(D8)</f>
        <v>45</v>
      </c>
      <c r="I30" s="84">
        <f>LOOKUP($H$30,Mins,Vakantie!A2:A9)</f>
        <v>5</v>
      </c>
      <c r="J30" s="55"/>
      <c r="K30" s="54"/>
      <c r="L30" s="57"/>
      <c r="M30" s="57"/>
      <c r="N30" s="57"/>
      <c r="O30" s="57"/>
      <c r="P30" s="57"/>
      <c r="Q30" s="57"/>
    </row>
    <row r="31">
      <c r="A31" s="55"/>
      <c r="B31" s="54"/>
      <c r="C31" s="60" t="s">
        <v>77</v>
      </c>
      <c r="E31" s="55"/>
      <c r="F31" s="55"/>
      <c r="G31" s="85">
        <v>39.0</v>
      </c>
      <c r="H31" s="85">
        <v>3.0</v>
      </c>
      <c r="I31" s="86"/>
      <c r="J31" s="55"/>
      <c r="K31" s="54"/>
      <c r="L31" s="57"/>
      <c r="M31" s="57"/>
      <c r="N31" s="57"/>
      <c r="O31" s="57"/>
      <c r="P31" s="57"/>
      <c r="Q31" s="57"/>
    </row>
    <row r="32">
      <c r="A32" s="55"/>
      <c r="B32" s="54"/>
      <c r="C32" s="80" t="s">
        <v>78</v>
      </c>
      <c r="D32" s="87" t="str">
        <f>LOOKUP(H30,Mins,Leeftijd)</f>
        <v>45 t/m 49 jaar</v>
      </c>
      <c r="E32" s="55"/>
      <c r="F32" s="55"/>
      <c r="G32" s="88" t="s">
        <v>79</v>
      </c>
      <c r="H32" s="88" t="s">
        <v>79</v>
      </c>
      <c r="I32" s="86"/>
      <c r="J32" s="55"/>
      <c r="K32" s="54"/>
      <c r="L32" s="57"/>
      <c r="M32" s="89">
        <f>LOOKUP(H30,Mins,Vakantie!A2:A9)</f>
        <v>5</v>
      </c>
      <c r="N32" s="57"/>
      <c r="O32" s="57"/>
      <c r="P32" s="57"/>
      <c r="Q32" s="57"/>
    </row>
    <row r="33">
      <c r="A33" s="55"/>
      <c r="B33" s="54"/>
      <c r="C33" s="60" t="s">
        <v>80</v>
      </c>
      <c r="D33" s="90" t="str">
        <f>VLOOKUP(I30,Vakantie,5,true)</f>
        <v>25 dagen</v>
      </c>
      <c r="E33" s="55"/>
      <c r="F33" s="55"/>
      <c r="G33" s="91" t="s">
        <v>81</v>
      </c>
      <c r="H33" s="55"/>
      <c r="I33" s="55"/>
      <c r="J33" s="55"/>
      <c r="K33" s="54"/>
      <c r="L33" s="57"/>
      <c r="M33" s="89"/>
      <c r="N33" s="57"/>
      <c r="O33" s="57"/>
      <c r="P33" s="57"/>
      <c r="Q33" s="57"/>
    </row>
    <row r="34">
      <c r="A34" s="55"/>
      <c r="B34" s="54"/>
      <c r="C34" s="60" t="s">
        <v>82</v>
      </c>
      <c r="D34" s="90">
        <v>3.5</v>
      </c>
      <c r="E34" s="55"/>
      <c r="F34" s="55"/>
      <c r="G34" s="60" t="s">
        <v>83</v>
      </c>
      <c r="H34" s="75">
        <f>NETWORKDAYS(H36,H37)</f>
        <v>129</v>
      </c>
      <c r="I34" s="67"/>
      <c r="J34" s="55"/>
      <c r="K34" s="54"/>
      <c r="L34" s="57"/>
      <c r="M34" s="89"/>
      <c r="N34" s="57"/>
      <c r="O34" s="57"/>
      <c r="P34" s="57"/>
      <c r="Q34" s="57"/>
    </row>
    <row r="35">
      <c r="A35" s="55"/>
      <c r="B35" s="54"/>
      <c r="C35" s="60" t="s">
        <v>84</v>
      </c>
      <c r="D35" s="92">
        <v>0.08</v>
      </c>
      <c r="E35" s="55"/>
      <c r="F35" s="55"/>
      <c r="G35" s="60" t="s">
        <v>85</v>
      </c>
      <c r="H35" s="93" t="s">
        <v>86</v>
      </c>
      <c r="I35" s="67"/>
      <c r="J35" s="55"/>
      <c r="K35" s="54"/>
      <c r="L35" s="57"/>
      <c r="M35" s="89"/>
      <c r="N35" s="57"/>
      <c r="O35" s="57"/>
      <c r="P35" s="57"/>
      <c r="Q35" s="57"/>
    </row>
    <row r="36">
      <c r="A36" s="55"/>
      <c r="B36" s="54"/>
      <c r="C36" s="55"/>
      <c r="D36" s="55"/>
      <c r="E36" s="55"/>
      <c r="F36" s="55"/>
      <c r="G36" s="60" t="s">
        <v>87</v>
      </c>
      <c r="H36" s="94">
        <v>45979.0</v>
      </c>
      <c r="I36" s="67"/>
      <c r="J36" s="55"/>
      <c r="K36" s="54"/>
      <c r="L36" s="57"/>
      <c r="M36" s="89" t="str">
        <f>DATEDIF(D11, D29, "M")</f>
        <v>#NUM!</v>
      </c>
      <c r="N36" s="57"/>
      <c r="O36" s="57"/>
      <c r="P36" s="57"/>
      <c r="Q36" s="57"/>
    </row>
    <row r="37">
      <c r="A37" s="55"/>
      <c r="B37" s="54"/>
      <c r="C37" s="91" t="s">
        <v>88</v>
      </c>
      <c r="D37" s="55"/>
      <c r="E37" s="55"/>
      <c r="F37" s="55"/>
      <c r="G37" s="60" t="s">
        <v>89</v>
      </c>
      <c r="H37" s="95">
        <v>46159.0</v>
      </c>
      <c r="I37" s="67"/>
      <c r="J37" s="55"/>
      <c r="K37" s="54"/>
      <c r="L37" s="57"/>
      <c r="M37" s="89"/>
      <c r="N37" s="57"/>
      <c r="O37" s="57"/>
      <c r="P37" s="57"/>
      <c r="Q37" s="57"/>
    </row>
    <row r="38">
      <c r="A38" s="55"/>
      <c r="B38" s="54"/>
      <c r="C38" s="60" t="s">
        <v>90</v>
      </c>
      <c r="D38" s="96">
        <v>45963.0</v>
      </c>
      <c r="E38" s="55"/>
      <c r="F38" s="55"/>
      <c r="G38" s="55"/>
      <c r="H38" s="55"/>
      <c r="I38" s="55"/>
      <c r="J38" s="55"/>
      <c r="K38" s="54"/>
      <c r="L38" s="57"/>
      <c r="M38" s="89"/>
      <c r="N38" s="57"/>
      <c r="O38" s="57"/>
      <c r="P38" s="57"/>
      <c r="Q38" s="57"/>
    </row>
    <row r="39">
      <c r="A39" s="55"/>
      <c r="B39" s="54"/>
      <c r="C39" s="60" t="s">
        <v>91</v>
      </c>
      <c r="D39" s="55"/>
      <c r="E39" s="55"/>
      <c r="F39" s="55"/>
      <c r="G39" s="91" t="s">
        <v>92</v>
      </c>
      <c r="H39" s="55"/>
      <c r="I39" s="55"/>
      <c r="J39" s="55"/>
      <c r="K39" s="54"/>
      <c r="L39" s="57"/>
      <c r="M39" s="89"/>
      <c r="N39" s="57"/>
      <c r="O39" s="57"/>
      <c r="P39" s="57"/>
      <c r="Q39" s="57"/>
    </row>
    <row r="40">
      <c r="A40" s="55"/>
      <c r="B40" s="54"/>
      <c r="C40" s="60" t="s">
        <v>93</v>
      </c>
      <c r="D40" s="62"/>
      <c r="E40" s="55"/>
      <c r="F40" s="55"/>
      <c r="G40" s="60" t="s">
        <v>94</v>
      </c>
      <c r="H40" s="97" t="str">
        <f>VLOOKUP($D$4,Employee!A3:O37,15,false)</f>
        <v>6 maanden</v>
      </c>
      <c r="I40" s="98">
        <v>7.0</v>
      </c>
      <c r="J40" s="55"/>
      <c r="K40" s="54"/>
      <c r="L40" s="57"/>
      <c r="M40" s="89"/>
      <c r="N40" s="57"/>
      <c r="O40" s="57"/>
      <c r="P40" s="57"/>
      <c r="Q40" s="57"/>
    </row>
    <row r="41">
      <c r="A41" s="55"/>
      <c r="B41" s="54"/>
      <c r="C41" s="60" t="s">
        <v>95</v>
      </c>
      <c r="D41" s="55"/>
      <c r="E41" s="55"/>
      <c r="F41" s="55"/>
      <c r="G41" s="60" t="s">
        <v>96</v>
      </c>
      <c r="H41" s="99">
        <f>EDATE(D11-1,I40)</f>
        <v>46190</v>
      </c>
      <c r="I41" s="55"/>
      <c r="J41" s="55"/>
      <c r="K41" s="54"/>
      <c r="L41" s="57"/>
      <c r="M41" s="89"/>
      <c r="N41" s="57"/>
      <c r="O41" s="57"/>
      <c r="P41" s="57"/>
      <c r="Q41" s="57"/>
    </row>
    <row r="42">
      <c r="A42" s="55"/>
      <c r="B42" s="54"/>
      <c r="C42" s="60" t="s">
        <v>97</v>
      </c>
      <c r="D42" s="62"/>
      <c r="E42" s="55"/>
      <c r="F42" s="55"/>
      <c r="G42" s="55"/>
      <c r="H42" s="55"/>
      <c r="I42" s="55"/>
      <c r="J42" s="55"/>
      <c r="K42" s="54"/>
      <c r="L42" s="57"/>
      <c r="M42" s="89"/>
      <c r="N42" s="57"/>
      <c r="O42" s="57"/>
      <c r="P42" s="57"/>
      <c r="Q42" s="57"/>
    </row>
    <row r="43">
      <c r="A43" s="55"/>
      <c r="B43" s="54"/>
      <c r="C43" s="60" t="s">
        <v>54</v>
      </c>
      <c r="D43" s="55"/>
      <c r="E43" s="55"/>
      <c r="F43" s="55"/>
      <c r="G43" s="60" t="s">
        <v>98</v>
      </c>
      <c r="H43" s="100">
        <v>0.1092</v>
      </c>
      <c r="I43" s="55"/>
      <c r="J43" s="55"/>
      <c r="K43" s="54"/>
      <c r="L43" s="57"/>
      <c r="M43" s="89"/>
      <c r="N43" s="57"/>
      <c r="O43" s="57"/>
      <c r="P43" s="57"/>
      <c r="Q43" s="57"/>
    </row>
    <row r="44">
      <c r="A44" s="55"/>
      <c r="B44" s="54"/>
      <c r="C44" s="60" t="s">
        <v>99</v>
      </c>
      <c r="D44" s="101" t="s">
        <v>100</v>
      </c>
      <c r="E44" s="55"/>
      <c r="F44" s="55"/>
      <c r="G44" s="60" t="s">
        <v>101</v>
      </c>
      <c r="H44" s="100">
        <v>0.0833</v>
      </c>
      <c r="I44" s="55"/>
      <c r="J44" s="55"/>
      <c r="K44" s="54"/>
      <c r="L44" s="57"/>
      <c r="M44" s="89"/>
      <c r="N44" s="57"/>
      <c r="O44" s="57"/>
      <c r="P44" s="57"/>
      <c r="Q44" s="57"/>
    </row>
    <row r="45">
      <c r="A45" s="55"/>
      <c r="B45" s="54"/>
      <c r="C45" s="60" t="s">
        <v>102</v>
      </c>
      <c r="D45" s="102">
        <v>0.2916666666666667</v>
      </c>
      <c r="E45" s="55"/>
      <c r="F45" s="55"/>
      <c r="G45" s="55"/>
      <c r="H45" s="55"/>
      <c r="I45" s="55"/>
      <c r="J45" s="55"/>
      <c r="K45" s="54"/>
      <c r="L45" s="57"/>
      <c r="M45" s="89"/>
      <c r="N45" s="57"/>
      <c r="O45" s="57"/>
      <c r="P45" s="57"/>
      <c r="Q45" s="57"/>
    </row>
    <row r="46">
      <c r="A46" s="55"/>
      <c r="B46" s="54"/>
      <c r="C46" s="60" t="s">
        <v>103</v>
      </c>
      <c r="D46" s="103">
        <v>0.7916666666666666</v>
      </c>
      <c r="E46" s="55"/>
      <c r="F46" s="55"/>
      <c r="G46" s="59" t="s">
        <v>104</v>
      </c>
      <c r="H46" s="55"/>
      <c r="I46" s="55"/>
      <c r="J46" s="55"/>
      <c r="K46" s="54"/>
      <c r="L46" s="57"/>
      <c r="M46" s="89"/>
      <c r="N46" s="57"/>
      <c r="O46" s="57"/>
      <c r="P46" s="57"/>
      <c r="Q46" s="57"/>
    </row>
    <row r="47">
      <c r="A47" s="55"/>
      <c r="B47" s="54"/>
      <c r="C47" s="60" t="s">
        <v>105</v>
      </c>
      <c r="D47" s="55"/>
      <c r="E47" s="55"/>
      <c r="F47" s="55"/>
      <c r="G47" s="104" t="s">
        <v>106</v>
      </c>
      <c r="I47" s="55"/>
      <c r="J47" s="55"/>
      <c r="K47" s="54"/>
      <c r="L47" s="57"/>
      <c r="M47" s="89"/>
      <c r="N47" s="57"/>
      <c r="O47" s="57"/>
      <c r="P47" s="57"/>
      <c r="Q47" s="57"/>
    </row>
    <row r="48">
      <c r="A48" s="55"/>
      <c r="B48" s="54"/>
      <c r="C48" s="60" t="s">
        <v>107</v>
      </c>
      <c r="D48" s="105" t="str">
        <f>VLOOKUP($G$21,Schalen25,2,TRUE)</f>
        <v>D</v>
      </c>
      <c r="E48" s="55"/>
      <c r="F48" s="55"/>
      <c r="G48" s="60" t="s">
        <v>35</v>
      </c>
      <c r="H48" s="60" t="str">
        <f>VLOOKUP($G$47,CRM,6,FALSE)</f>
        <v>Loosduinseweg 867</v>
      </c>
      <c r="I48" s="60"/>
      <c r="J48" s="55"/>
      <c r="K48" s="54"/>
      <c r="L48" s="57"/>
      <c r="M48" s="89"/>
      <c r="N48" s="57"/>
      <c r="O48" s="57"/>
      <c r="P48" s="57"/>
      <c r="Q48" s="57"/>
    </row>
    <row r="49">
      <c r="A49" s="55"/>
      <c r="B49" s="54"/>
      <c r="C49" s="60" t="s">
        <v>108</v>
      </c>
      <c r="D49" s="106">
        <f>VLOOKUP($G$21,Schalen25,3,TRUE)</f>
        <v>5</v>
      </c>
      <c r="E49" s="55"/>
      <c r="F49" s="55"/>
      <c r="G49" s="60" t="s">
        <v>109</v>
      </c>
      <c r="H49" s="60" t="str">
        <f>VLOOKUP($G$47,CRM,8,FALSE)</f>
        <v>2571AV</v>
      </c>
      <c r="I49" s="60" t="str">
        <f>VLOOKUP($G$47,CRM,7,FALSE)</f>
        <v>s-Gravenhage</v>
      </c>
      <c r="K49" s="54"/>
      <c r="L49" s="57"/>
      <c r="M49" s="89"/>
      <c r="N49" s="57"/>
      <c r="O49" s="57"/>
      <c r="P49" s="57"/>
      <c r="Q49" s="57"/>
    </row>
    <row r="50">
      <c r="A50" s="55"/>
      <c r="B50" s="54"/>
      <c r="C50" s="60" t="s">
        <v>110</v>
      </c>
      <c r="D50" s="55"/>
      <c r="E50" s="55"/>
      <c r="F50" s="55"/>
      <c r="G50" s="60" t="s">
        <v>111</v>
      </c>
      <c r="H50" s="60" t="str">
        <f>VLOOKUP($G$47,CRM,13,TRUE)&amp;" "&amp;VLOOKUP($G$47,CRM,3,TRUE)&amp;" "&amp;VLOOKUP($G$47,CRM,15,TRUE)</f>
        <v>Hr. A.A. Kazakov</v>
      </c>
      <c r="I50" s="55"/>
      <c r="J50" s="55"/>
      <c r="K50" s="54"/>
      <c r="L50" s="57"/>
      <c r="M50" s="89" t="str">
        <f>IF(VLOOKUP($G$47,CRM,13,TRUE)="Mw.","mevrouw ","deheer ")&amp;VLOOKUP($G$47,CRM,3,TRUE)&amp;" "&amp;VLOOKUP($G$47,CRM,15,TRUE)</f>
        <v>deheer A.A. Kazakov</v>
      </c>
      <c r="N50" s="57"/>
      <c r="O50" s="57"/>
      <c r="P50" s="57"/>
      <c r="Q50" s="57"/>
    </row>
    <row r="51">
      <c r="A51" s="55"/>
      <c r="B51" s="54"/>
      <c r="C51" s="60" t="s">
        <v>37</v>
      </c>
      <c r="D51" s="60" t="str">
        <f>H8</f>
        <v>Barendrecht</v>
      </c>
      <c r="E51" s="55"/>
      <c r="F51" s="55"/>
      <c r="G51" s="60" t="s">
        <v>112</v>
      </c>
      <c r="H51" s="60">
        <f>VLOOKUP($G$47,CRM,10,FALSE)</f>
        <v>82225443</v>
      </c>
      <c r="I51" s="55"/>
      <c r="J51" s="55"/>
      <c r="K51" s="54"/>
      <c r="L51" s="57"/>
      <c r="M51" s="89"/>
      <c r="N51" s="57"/>
      <c r="O51" s="57"/>
      <c r="P51" s="57"/>
      <c r="Q51" s="57"/>
    </row>
    <row r="52">
      <c r="A52" s="55"/>
      <c r="B52" s="54"/>
      <c r="C52" s="60" t="s">
        <v>90</v>
      </c>
      <c r="D52" s="107">
        <f>D11-1</f>
        <v>45978</v>
      </c>
      <c r="E52" s="55"/>
      <c r="F52" s="55"/>
      <c r="G52" s="60" t="s">
        <v>113</v>
      </c>
      <c r="H52" s="108" t="s">
        <v>114</v>
      </c>
      <c r="K52" s="54"/>
      <c r="L52" s="57"/>
      <c r="M52" s="89"/>
      <c r="N52" s="57"/>
      <c r="O52" s="57"/>
      <c r="P52" s="57"/>
      <c r="Q52" s="57"/>
    </row>
    <row r="53">
      <c r="A53" s="55"/>
      <c r="B53" s="54"/>
      <c r="C53" s="55"/>
      <c r="D53" s="55"/>
      <c r="E53" s="55"/>
      <c r="F53" s="109">
        <v>28.0</v>
      </c>
      <c r="G53" s="55"/>
      <c r="H53" s="60" t="s">
        <v>115</v>
      </c>
      <c r="I53" s="67"/>
      <c r="J53" s="67"/>
      <c r="K53" s="54"/>
      <c r="L53" s="57"/>
      <c r="M53" s="89"/>
      <c r="N53" s="57"/>
      <c r="O53" s="57"/>
      <c r="P53" s="57"/>
      <c r="Q53" s="57"/>
    </row>
    <row r="54">
      <c r="A54" s="55"/>
      <c r="B54" s="54"/>
      <c r="C54" s="55"/>
      <c r="D54" s="55"/>
      <c r="E54" s="55"/>
      <c r="F54" s="109">
        <v>26.0</v>
      </c>
      <c r="G54" s="55"/>
      <c r="H54" s="60" t="s">
        <v>116</v>
      </c>
      <c r="I54" s="67"/>
      <c r="J54" s="67"/>
      <c r="K54" s="54"/>
      <c r="L54" s="57"/>
      <c r="M54" s="89"/>
      <c r="N54" s="57"/>
      <c r="O54" s="57"/>
      <c r="P54" s="57"/>
      <c r="Q54" s="57"/>
    </row>
    <row r="55">
      <c r="A55" s="55"/>
      <c r="B55" s="54"/>
      <c r="C55" s="55"/>
      <c r="D55" s="55"/>
      <c r="E55" s="55"/>
      <c r="F55" s="55"/>
      <c r="G55" s="60" t="s">
        <v>117</v>
      </c>
      <c r="H55" s="110">
        <v>45960.0</v>
      </c>
      <c r="I55" s="67"/>
      <c r="J55" s="67"/>
      <c r="K55" s="54"/>
      <c r="L55" s="57"/>
      <c r="M55" s="57"/>
      <c r="N55" s="57"/>
      <c r="O55" s="57"/>
      <c r="P55" s="57"/>
      <c r="Q55" s="57"/>
    </row>
    <row r="56">
      <c r="A56" s="55"/>
      <c r="B56" s="54"/>
      <c r="C56" s="55"/>
      <c r="D56" s="55"/>
      <c r="E56" s="55"/>
      <c r="F56" s="55"/>
      <c r="G56" s="55"/>
      <c r="H56" s="55"/>
      <c r="I56" s="67"/>
      <c r="J56" s="67"/>
      <c r="K56" s="54"/>
      <c r="L56" s="57"/>
      <c r="M56" s="57"/>
      <c r="N56" s="57"/>
      <c r="O56" s="57"/>
      <c r="P56" s="57"/>
      <c r="Q56" s="57"/>
    </row>
    <row r="57">
      <c r="A57" s="55"/>
      <c r="B57" s="54"/>
      <c r="C57" s="55"/>
      <c r="D57" s="55"/>
      <c r="E57" s="55"/>
      <c r="F57" s="55"/>
      <c r="G57" s="55"/>
      <c r="H57" s="55"/>
      <c r="I57" s="67"/>
      <c r="J57" s="67"/>
      <c r="K57" s="54"/>
      <c r="L57" s="57"/>
      <c r="M57" s="57"/>
      <c r="N57" s="57"/>
      <c r="O57" s="57"/>
      <c r="P57" s="57"/>
      <c r="Q57" s="57"/>
    </row>
    <row r="58">
      <c r="A58" s="55"/>
      <c r="B58" s="54"/>
      <c r="C58" s="55"/>
      <c r="D58" s="55"/>
      <c r="E58" s="55"/>
      <c r="F58" s="55"/>
      <c r="G58" s="55"/>
      <c r="H58" s="55"/>
      <c r="I58" s="55"/>
      <c r="J58" s="55"/>
      <c r="K58" s="54"/>
      <c r="L58" s="57"/>
      <c r="M58" s="57"/>
      <c r="N58" s="57"/>
      <c r="O58" s="57"/>
      <c r="P58" s="57"/>
      <c r="Q58" s="57"/>
    </row>
    <row r="59" ht="1.5" customHeight="1">
      <c r="A59" s="55"/>
      <c r="B59" s="54"/>
      <c r="C59" s="54"/>
      <c r="D59" s="54"/>
      <c r="E59" s="54"/>
      <c r="F59" s="54"/>
      <c r="G59" s="54"/>
      <c r="H59" s="54"/>
      <c r="I59" s="54"/>
      <c r="J59" s="54"/>
      <c r="K59" s="54"/>
      <c r="L59" s="57"/>
      <c r="M59" s="57"/>
      <c r="N59" s="57"/>
      <c r="O59" s="57"/>
      <c r="P59" s="57"/>
      <c r="Q59" s="57"/>
    </row>
    <row r="60">
      <c r="L60" s="57"/>
      <c r="M60" s="57"/>
      <c r="N60" s="57"/>
      <c r="O60" s="57"/>
      <c r="P60" s="57"/>
      <c r="Q60" s="57"/>
    </row>
    <row r="61">
      <c r="L61" s="57"/>
      <c r="M61" s="57"/>
      <c r="N61" s="57"/>
      <c r="O61" s="57"/>
      <c r="P61" s="57"/>
      <c r="Q61" s="57"/>
    </row>
    <row r="62">
      <c r="L62" s="57"/>
      <c r="M62" s="57"/>
      <c r="N62" s="57"/>
      <c r="O62" s="57"/>
      <c r="P62" s="57"/>
      <c r="Q62" s="57"/>
    </row>
    <row r="63">
      <c r="L63" s="57"/>
      <c r="M63" s="57"/>
      <c r="N63" s="57"/>
      <c r="O63" s="57"/>
      <c r="P63" s="57"/>
      <c r="Q63" s="57"/>
    </row>
    <row r="64">
      <c r="L64" s="57"/>
      <c r="M64" s="57"/>
      <c r="N64" s="57"/>
      <c r="O64" s="57"/>
      <c r="P64" s="57"/>
      <c r="Q64" s="57"/>
    </row>
    <row r="65">
      <c r="L65" s="57"/>
      <c r="M65" s="57"/>
      <c r="N65" s="57"/>
      <c r="O65" s="57"/>
      <c r="P65" s="57"/>
      <c r="Q65" s="57"/>
    </row>
    <row r="66">
      <c r="L66" s="57"/>
      <c r="M66" s="57"/>
      <c r="N66" s="57"/>
      <c r="O66" s="57"/>
      <c r="P66" s="57"/>
      <c r="Q66" s="57"/>
    </row>
  </sheetData>
  <mergeCells count="6">
    <mergeCell ref="H3:I3"/>
    <mergeCell ref="E19:F19"/>
    <mergeCell ref="C31:D31"/>
    <mergeCell ref="G47:H47"/>
    <mergeCell ref="I49:J49"/>
    <mergeCell ref="H52:J52"/>
  </mergeCells>
  <dataValidations>
    <dataValidation type="list" allowBlank="1" showErrorMessage="1" sqref="H3 G47">
      <formula1>Account</formula1>
    </dataValidation>
    <dataValidation type="list" allowBlank="1" showErrorMessage="1" sqref="G21">
      <formula1>Schalen25!A4:A61</formula1>
    </dataValidation>
    <dataValidation type="list" allowBlank="1" showErrorMessage="1" sqref="H14">
      <formula1>"Intern,Extern"</formula1>
    </dataValidation>
    <dataValidation type="list" allowBlank="1" showErrorMessage="1" sqref="D4">
      <formula1>Employee!$A$3:$A$37</formula1>
    </dataValidation>
    <dataValidation type="list" allowBlank="1" showErrorMessage="1" sqref="H35">
      <formula1>"dagen,uren"</formula1>
    </dataValidation>
    <dataValidation type="list" allowBlank="1" showErrorMessage="1" sqref="H52">
      <formula1>"Aan het eind van de gewerkte week.,Aan het einde van de vierweekse periode.,Aan het eind van de maand.,Dagelijks"</formula1>
    </dataValidation>
  </dataValidations>
  <hyperlinks>
    <hyperlink r:id="rId1" location="NaarInhoud"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2.75"/>
    <col customWidth="1" min="5" max="5" width="31.0"/>
    <col customWidth="1" min="6" max="6" width="18.5"/>
    <col customWidth="1" min="7" max="7" width="8.63"/>
    <col customWidth="1" min="12" max="12" width="14.63"/>
    <col customWidth="1" min="13" max="13" width="13.63"/>
    <col customWidth="1" min="14" max="14" width="17.13"/>
    <col customWidth="1" min="15" max="15" width="17.0"/>
    <col customWidth="1" min="16" max="17" width="18.63"/>
    <col customWidth="1" min="18" max="18" width="13.88"/>
    <col customWidth="1" min="19" max="19" width="15.13"/>
  </cols>
  <sheetData>
    <row r="1">
      <c r="H1" s="111"/>
    </row>
    <row r="2" ht="22.5" customHeight="1">
      <c r="A2" s="112" t="s">
        <v>118</v>
      </c>
      <c r="B2" s="113" t="s">
        <v>1</v>
      </c>
      <c r="C2" s="113" t="s">
        <v>3</v>
      </c>
      <c r="D2" s="113" t="s">
        <v>5</v>
      </c>
      <c r="E2" s="113" t="s">
        <v>7</v>
      </c>
      <c r="F2" s="113" t="s">
        <v>10</v>
      </c>
      <c r="G2" s="113" t="s">
        <v>12</v>
      </c>
      <c r="H2" s="114" t="s">
        <v>15</v>
      </c>
      <c r="I2" s="113" t="s">
        <v>19</v>
      </c>
      <c r="J2" s="113" t="s">
        <v>22</v>
      </c>
      <c r="K2" s="113" t="s">
        <v>23</v>
      </c>
      <c r="L2" s="113" t="s">
        <v>2</v>
      </c>
      <c r="M2" s="113" t="s">
        <v>4</v>
      </c>
      <c r="N2" s="113" t="s">
        <v>6</v>
      </c>
      <c r="O2" s="113" t="s">
        <v>8</v>
      </c>
      <c r="P2" s="115" t="s">
        <v>119</v>
      </c>
      <c r="Q2" s="113" t="s">
        <v>11</v>
      </c>
      <c r="R2" s="113" t="s">
        <v>13</v>
      </c>
      <c r="S2" s="113" t="s">
        <v>16</v>
      </c>
      <c r="T2" s="113" t="s">
        <v>20</v>
      </c>
    </row>
    <row r="3" ht="22.5" customHeight="1">
      <c r="A3" s="116" t="s">
        <v>120</v>
      </c>
      <c r="B3" s="116" t="s">
        <v>121</v>
      </c>
      <c r="C3" s="116" t="s">
        <v>122</v>
      </c>
      <c r="D3" s="116" t="s">
        <v>123</v>
      </c>
      <c r="E3" s="116" t="s">
        <v>124</v>
      </c>
      <c r="F3" s="116" t="s">
        <v>125</v>
      </c>
      <c r="G3" s="116" t="s">
        <v>126</v>
      </c>
      <c r="H3" s="116">
        <v>3.1616032687E10</v>
      </c>
      <c r="I3" s="116" t="s">
        <v>127</v>
      </c>
      <c r="J3" s="117">
        <v>45964.0</v>
      </c>
      <c r="K3" s="118">
        <v>4.47266925E8</v>
      </c>
      <c r="L3" s="116" t="s">
        <v>128</v>
      </c>
      <c r="M3" s="117">
        <v>27324.0</v>
      </c>
      <c r="N3" s="117">
        <v>45964.0</v>
      </c>
      <c r="O3" s="116" t="s">
        <v>129</v>
      </c>
      <c r="P3" s="117">
        <v>46144.0</v>
      </c>
      <c r="Q3" s="116"/>
      <c r="R3" s="116">
        <v>18.71</v>
      </c>
      <c r="S3" s="116" t="s">
        <v>130</v>
      </c>
      <c r="T3" s="116" t="s">
        <v>131</v>
      </c>
    </row>
    <row r="4" ht="22.5" customHeight="1">
      <c r="A4" s="116" t="s">
        <v>132</v>
      </c>
      <c r="B4" s="116" t="s">
        <v>121</v>
      </c>
      <c r="C4" s="116" t="s">
        <v>133</v>
      </c>
      <c r="D4" s="116" t="s">
        <v>134</v>
      </c>
      <c r="E4" s="116" t="s">
        <v>135</v>
      </c>
      <c r="F4" s="116" t="s">
        <v>136</v>
      </c>
      <c r="G4" s="116" t="s">
        <v>126</v>
      </c>
      <c r="H4" s="116">
        <v>4.0756724384E10</v>
      </c>
      <c r="I4" s="116" t="s">
        <v>137</v>
      </c>
      <c r="J4" s="119">
        <v>45964.0</v>
      </c>
      <c r="K4" s="116">
        <v>2.92515121E8</v>
      </c>
      <c r="L4" s="116"/>
      <c r="M4" s="117">
        <v>32206.0</v>
      </c>
      <c r="N4" s="117">
        <v>45964.0</v>
      </c>
      <c r="O4" s="116" t="s">
        <v>129</v>
      </c>
      <c r="P4" s="117">
        <v>46144.0</v>
      </c>
      <c r="Q4" s="116"/>
      <c r="R4" s="116">
        <v>18.71</v>
      </c>
      <c r="S4" s="116" t="s">
        <v>130</v>
      </c>
      <c r="T4" s="116" t="s">
        <v>131</v>
      </c>
    </row>
    <row r="5" ht="22.5" customHeight="1">
      <c r="A5" s="116" t="s">
        <v>138</v>
      </c>
      <c r="B5" s="116" t="s">
        <v>121</v>
      </c>
      <c r="C5" s="116" t="s">
        <v>139</v>
      </c>
      <c r="D5" s="116" t="s">
        <v>140</v>
      </c>
      <c r="E5" s="116" t="s">
        <v>141</v>
      </c>
      <c r="F5" s="116"/>
      <c r="G5" s="116" t="s">
        <v>142</v>
      </c>
      <c r="H5" s="116">
        <v>3.59899705392E11</v>
      </c>
      <c r="I5" s="116" t="s">
        <v>143</v>
      </c>
      <c r="J5" s="119"/>
      <c r="K5" s="116"/>
      <c r="L5" s="116"/>
      <c r="M5" s="117">
        <v>30033.0</v>
      </c>
      <c r="N5" s="117">
        <v>45964.0</v>
      </c>
      <c r="O5" s="116" t="s">
        <v>129</v>
      </c>
      <c r="P5" s="117">
        <v>46144.0</v>
      </c>
      <c r="Q5" s="116"/>
      <c r="R5" s="116">
        <v>18.71</v>
      </c>
      <c r="S5" s="116" t="s">
        <v>130</v>
      </c>
      <c r="T5" s="116" t="s">
        <v>131</v>
      </c>
    </row>
    <row r="6" ht="22.5" customHeight="1">
      <c r="A6" s="116" t="s">
        <v>144</v>
      </c>
      <c r="B6" s="116" t="s">
        <v>121</v>
      </c>
      <c r="C6" s="116" t="s">
        <v>133</v>
      </c>
      <c r="D6" s="116" t="s">
        <v>145</v>
      </c>
      <c r="E6" s="116" t="s">
        <v>146</v>
      </c>
      <c r="F6" s="116"/>
      <c r="G6" s="116" t="s">
        <v>126</v>
      </c>
      <c r="H6" s="116" t="s">
        <v>147</v>
      </c>
      <c r="I6" s="116" t="s">
        <v>148</v>
      </c>
      <c r="J6" s="117">
        <v>45966.0</v>
      </c>
      <c r="K6" s="116">
        <v>4.24099536E8</v>
      </c>
      <c r="L6" s="116" t="s">
        <v>149</v>
      </c>
      <c r="M6" s="117">
        <v>30283.0</v>
      </c>
      <c r="N6" s="117">
        <v>45966.0</v>
      </c>
      <c r="O6" s="116" t="s">
        <v>129</v>
      </c>
      <c r="P6" s="117">
        <v>46177.0</v>
      </c>
      <c r="Q6" s="116"/>
      <c r="R6" s="116">
        <v>18.71</v>
      </c>
      <c r="S6" s="116" t="s">
        <v>130</v>
      </c>
      <c r="T6" s="116" t="s">
        <v>131</v>
      </c>
    </row>
    <row r="7" ht="22.5" customHeight="1">
      <c r="A7" s="116" t="s">
        <v>150</v>
      </c>
      <c r="B7" s="116" t="s">
        <v>121</v>
      </c>
      <c r="C7" s="116" t="s">
        <v>151</v>
      </c>
      <c r="D7" s="116" t="s">
        <v>152</v>
      </c>
      <c r="E7" s="116" t="s">
        <v>153</v>
      </c>
      <c r="F7" s="116" t="s">
        <v>154</v>
      </c>
      <c r="G7" s="116" t="s">
        <v>126</v>
      </c>
      <c r="H7" s="116">
        <v>3.1623057192E10</v>
      </c>
      <c r="I7" s="116" t="s">
        <v>155</v>
      </c>
      <c r="J7" s="120">
        <v>45971.0</v>
      </c>
      <c r="K7" s="116">
        <v>3.3665952E8</v>
      </c>
      <c r="L7" s="116" t="s">
        <v>156</v>
      </c>
      <c r="M7" s="119">
        <v>34413.0</v>
      </c>
      <c r="N7" s="121">
        <v>45971.0</v>
      </c>
      <c r="O7" s="116" t="s">
        <v>129</v>
      </c>
      <c r="P7" s="119">
        <v>46152.0</v>
      </c>
      <c r="Q7" s="116"/>
      <c r="R7" s="116">
        <v>18.71</v>
      </c>
      <c r="S7" s="116" t="s">
        <v>130</v>
      </c>
      <c r="T7" s="116" t="s">
        <v>131</v>
      </c>
    </row>
    <row r="8" ht="22.5" customHeight="1">
      <c r="A8" s="116" t="s">
        <v>33</v>
      </c>
      <c r="B8" s="116" t="s">
        <v>121</v>
      </c>
      <c r="C8" s="116" t="s">
        <v>122</v>
      </c>
      <c r="D8" s="116" t="s">
        <v>157</v>
      </c>
      <c r="E8" s="116" t="s">
        <v>158</v>
      </c>
      <c r="F8" s="116" t="s">
        <v>159</v>
      </c>
      <c r="G8" s="116" t="s">
        <v>160</v>
      </c>
      <c r="H8" s="116" t="s">
        <v>161</v>
      </c>
      <c r="I8" s="116" t="s">
        <v>162</v>
      </c>
      <c r="J8" s="122">
        <v>45979.0</v>
      </c>
      <c r="K8" s="116">
        <v>2.35116026E8</v>
      </c>
      <c r="L8" s="116" t="s">
        <v>163</v>
      </c>
      <c r="M8" s="117">
        <v>29310.0</v>
      </c>
      <c r="N8" s="117">
        <v>45979.0</v>
      </c>
      <c r="O8" s="116" t="s">
        <v>129</v>
      </c>
      <c r="P8" s="117">
        <v>46159.0</v>
      </c>
      <c r="Q8" s="116"/>
      <c r="R8" s="116">
        <v>18.71</v>
      </c>
      <c r="S8" s="116" t="s">
        <v>130</v>
      </c>
      <c r="T8" s="116" t="s">
        <v>131</v>
      </c>
    </row>
    <row r="9">
      <c r="A9" s="2"/>
      <c r="B9" s="2"/>
      <c r="C9" s="2"/>
      <c r="D9" s="2"/>
      <c r="E9" s="2"/>
      <c r="F9" s="2"/>
      <c r="G9" s="2"/>
      <c r="H9" s="123"/>
      <c r="I9" s="2"/>
      <c r="J9" s="2"/>
      <c r="K9" s="2"/>
      <c r="L9" s="2"/>
      <c r="M9" s="2"/>
      <c r="N9" s="2"/>
      <c r="O9" s="2"/>
      <c r="P9" s="2"/>
      <c r="Q9" s="2"/>
      <c r="R9" s="2"/>
      <c r="S9" s="2"/>
      <c r="T9" s="2"/>
    </row>
    <row r="10">
      <c r="A10" s="2"/>
      <c r="B10" s="2"/>
      <c r="C10" s="2"/>
      <c r="D10" s="2"/>
      <c r="E10" s="2"/>
      <c r="F10" s="2"/>
      <c r="G10" s="2"/>
      <c r="H10" s="123"/>
      <c r="I10" s="2"/>
      <c r="J10" s="2"/>
      <c r="K10" s="2"/>
      <c r="L10" s="2"/>
      <c r="M10" s="2"/>
      <c r="N10" s="2"/>
      <c r="O10" s="2"/>
      <c r="P10" s="2"/>
      <c r="Q10" s="2"/>
      <c r="R10" s="2"/>
      <c r="S10" s="2"/>
      <c r="T10" s="2"/>
    </row>
    <row r="11">
      <c r="A11" s="2"/>
      <c r="B11" s="2"/>
      <c r="C11" s="2"/>
      <c r="D11" s="2"/>
      <c r="E11" s="2"/>
      <c r="F11" s="2"/>
      <c r="G11" s="2"/>
      <c r="H11" s="123"/>
      <c r="I11" s="2"/>
      <c r="J11" s="2"/>
      <c r="K11" s="2"/>
      <c r="L11" s="2"/>
      <c r="M11" s="2"/>
      <c r="N11" s="2"/>
      <c r="O11" s="2"/>
      <c r="P11" s="2"/>
      <c r="Q11" s="2"/>
      <c r="R11" s="2"/>
      <c r="S11" s="2"/>
      <c r="T11" s="2"/>
    </row>
    <row r="12">
      <c r="A12" s="2"/>
      <c r="B12" s="2"/>
      <c r="C12" s="2"/>
      <c r="D12" s="2"/>
      <c r="E12" s="2"/>
      <c r="F12" s="2"/>
      <c r="G12" s="2"/>
      <c r="H12" s="123"/>
      <c r="I12" s="2"/>
      <c r="J12" s="2"/>
      <c r="K12" s="2"/>
      <c r="L12" s="2"/>
      <c r="M12" s="2"/>
      <c r="N12" s="2"/>
      <c r="O12" s="2"/>
      <c r="P12" s="2"/>
      <c r="Q12" s="2"/>
      <c r="R12" s="2"/>
      <c r="S12" s="2"/>
      <c r="T12" s="2"/>
    </row>
    <row r="13">
      <c r="A13" s="2"/>
      <c r="B13" s="2"/>
      <c r="C13" s="2"/>
      <c r="D13" s="2"/>
      <c r="E13" s="2"/>
      <c r="F13" s="2"/>
      <c r="G13" s="2"/>
      <c r="H13" s="123"/>
      <c r="I13" s="2"/>
      <c r="J13" s="2"/>
      <c r="K13" s="2"/>
      <c r="L13" s="2"/>
      <c r="M13" s="2"/>
      <c r="N13" s="2"/>
      <c r="O13" s="2"/>
      <c r="P13" s="2"/>
      <c r="Q13" s="2"/>
      <c r="R13" s="2"/>
      <c r="S13" s="2"/>
      <c r="T13" s="2"/>
    </row>
    <row r="14">
      <c r="A14" s="2"/>
      <c r="B14" s="2"/>
      <c r="C14" s="2"/>
      <c r="D14" s="2"/>
      <c r="E14" s="2"/>
      <c r="F14" s="2"/>
      <c r="G14" s="2"/>
      <c r="H14" s="123"/>
      <c r="I14" s="2"/>
      <c r="J14" s="2"/>
      <c r="K14" s="2"/>
      <c r="L14" s="2"/>
      <c r="M14" s="2"/>
      <c r="N14" s="2"/>
      <c r="O14" s="2"/>
      <c r="P14" s="2"/>
      <c r="Q14" s="2"/>
      <c r="R14" s="2"/>
      <c r="S14" s="2"/>
      <c r="T14" s="2"/>
    </row>
    <row r="15">
      <c r="A15" s="2"/>
      <c r="B15" s="2"/>
      <c r="C15" s="2"/>
      <c r="D15" s="2"/>
      <c r="E15" s="2"/>
      <c r="F15" s="2"/>
      <c r="G15" s="2"/>
      <c r="H15" s="123"/>
      <c r="I15" s="2"/>
      <c r="J15" s="2"/>
      <c r="K15" s="2"/>
      <c r="L15" s="2"/>
      <c r="M15" s="2"/>
      <c r="N15" s="2"/>
      <c r="O15" s="2"/>
      <c r="P15" s="2"/>
      <c r="Q15" s="2"/>
      <c r="R15" s="2"/>
      <c r="S15" s="2"/>
      <c r="T15" s="2"/>
    </row>
    <row r="16">
      <c r="A16" s="2"/>
      <c r="B16" s="2"/>
      <c r="C16" s="2"/>
      <c r="D16" s="2"/>
      <c r="E16" s="2"/>
      <c r="F16" s="2"/>
      <c r="G16" s="2"/>
      <c r="H16" s="123"/>
      <c r="I16" s="2"/>
      <c r="J16" s="2"/>
      <c r="K16" s="2"/>
      <c r="L16" s="2"/>
      <c r="M16" s="2"/>
      <c r="N16" s="2"/>
      <c r="O16" s="2"/>
      <c r="P16" s="2"/>
      <c r="Q16" s="2"/>
      <c r="R16" s="2"/>
      <c r="S16" s="2"/>
      <c r="T16" s="2"/>
    </row>
    <row r="17">
      <c r="A17" s="2"/>
      <c r="B17" s="2"/>
      <c r="C17" s="2"/>
      <c r="D17" s="2"/>
      <c r="E17" s="2"/>
      <c r="F17" s="2"/>
      <c r="G17" s="2"/>
      <c r="H17" s="123"/>
      <c r="I17" s="2"/>
      <c r="J17" s="2"/>
      <c r="K17" s="2"/>
      <c r="L17" s="2"/>
      <c r="M17" s="2"/>
      <c r="N17" s="2"/>
      <c r="O17" s="2"/>
      <c r="P17" s="2"/>
      <c r="Q17" s="2"/>
      <c r="R17" s="2"/>
      <c r="S17" s="2"/>
      <c r="T17" s="2"/>
    </row>
    <row r="18">
      <c r="A18" s="2"/>
      <c r="B18" s="2"/>
      <c r="C18" s="2"/>
      <c r="D18" s="2"/>
      <c r="E18" s="2"/>
      <c r="F18" s="2"/>
      <c r="G18" s="2"/>
      <c r="H18" s="123"/>
      <c r="I18" s="2"/>
      <c r="J18" s="2"/>
      <c r="K18" s="2"/>
      <c r="L18" s="2"/>
      <c r="M18" s="2"/>
      <c r="N18" s="2"/>
      <c r="O18" s="2"/>
      <c r="P18" s="2"/>
      <c r="Q18" s="2"/>
      <c r="R18" s="2"/>
      <c r="S18" s="2"/>
      <c r="T18" s="2"/>
    </row>
    <row r="19">
      <c r="A19" s="2"/>
      <c r="B19" s="2"/>
      <c r="C19" s="2"/>
      <c r="D19" s="2"/>
      <c r="E19" s="2"/>
      <c r="F19" s="2"/>
      <c r="G19" s="2"/>
      <c r="H19" s="123"/>
      <c r="I19" s="2"/>
      <c r="J19" s="2"/>
      <c r="K19" s="2"/>
      <c r="L19" s="2"/>
      <c r="M19" s="2"/>
      <c r="N19" s="2"/>
      <c r="O19" s="2"/>
      <c r="P19" s="2"/>
      <c r="Q19" s="2"/>
      <c r="R19" s="2"/>
      <c r="S19" s="2"/>
      <c r="T19" s="2"/>
    </row>
    <row r="20">
      <c r="A20" s="2"/>
      <c r="B20" s="2"/>
      <c r="C20" s="2"/>
      <c r="D20" s="2"/>
      <c r="E20" s="2"/>
      <c r="F20" s="2"/>
      <c r="G20" s="2"/>
      <c r="H20" s="123"/>
      <c r="I20" s="2"/>
      <c r="J20" s="2"/>
      <c r="K20" s="2"/>
      <c r="L20" s="2"/>
      <c r="M20" s="2"/>
      <c r="N20" s="2"/>
      <c r="O20" s="2"/>
      <c r="P20" s="2"/>
      <c r="Q20" s="2"/>
      <c r="R20" s="2"/>
      <c r="S20" s="2"/>
      <c r="T20" s="2"/>
    </row>
    <row r="21">
      <c r="A21" s="2"/>
      <c r="B21" s="2"/>
      <c r="C21" s="2"/>
      <c r="D21" s="2"/>
      <c r="E21" s="2"/>
      <c r="F21" s="2"/>
      <c r="G21" s="2"/>
      <c r="H21" s="123"/>
      <c r="I21" s="2"/>
      <c r="J21" s="2"/>
      <c r="K21" s="2"/>
      <c r="L21" s="2"/>
      <c r="M21" s="2"/>
      <c r="N21" s="2"/>
      <c r="O21" s="2"/>
      <c r="P21" s="2"/>
      <c r="Q21" s="2"/>
      <c r="R21" s="2"/>
      <c r="S21" s="2"/>
      <c r="T21" s="2"/>
    </row>
    <row r="22">
      <c r="A22" s="2"/>
      <c r="B22" s="2"/>
      <c r="C22" s="2"/>
      <c r="D22" s="2"/>
      <c r="E22" s="2"/>
      <c r="F22" s="2"/>
      <c r="G22" s="2"/>
      <c r="H22" s="123"/>
      <c r="I22" s="2"/>
      <c r="J22" s="2"/>
      <c r="K22" s="2"/>
      <c r="L22" s="2"/>
      <c r="M22" s="2"/>
      <c r="N22" s="2"/>
      <c r="O22" s="2"/>
      <c r="P22" s="2"/>
      <c r="Q22" s="2"/>
      <c r="R22" s="2"/>
      <c r="S22" s="2"/>
      <c r="T22" s="2"/>
    </row>
    <row r="23">
      <c r="A23" s="2"/>
      <c r="B23" s="2"/>
      <c r="C23" s="2"/>
      <c r="D23" s="2"/>
      <c r="E23" s="2"/>
      <c r="F23" s="2"/>
      <c r="G23" s="2"/>
      <c r="H23" s="123"/>
      <c r="I23" s="2"/>
      <c r="J23" s="2"/>
      <c r="K23" s="2"/>
      <c r="L23" s="2"/>
      <c r="M23" s="2"/>
      <c r="N23" s="2"/>
      <c r="O23" s="2"/>
      <c r="P23" s="2"/>
      <c r="Q23" s="2"/>
      <c r="R23" s="2"/>
      <c r="S23" s="2"/>
      <c r="T23" s="2"/>
    </row>
    <row r="24">
      <c r="A24" s="2"/>
      <c r="B24" s="2"/>
      <c r="C24" s="2"/>
      <c r="D24" s="2"/>
      <c r="E24" s="2"/>
      <c r="F24" s="2"/>
      <c r="G24" s="2"/>
      <c r="H24" s="123"/>
      <c r="I24" s="2"/>
      <c r="J24" s="2"/>
      <c r="K24" s="2"/>
      <c r="L24" s="2"/>
      <c r="M24" s="2"/>
      <c r="N24" s="2"/>
      <c r="O24" s="2"/>
      <c r="P24" s="2"/>
      <c r="Q24" s="2"/>
      <c r="R24" s="2"/>
      <c r="S24" s="2"/>
      <c r="T24" s="2"/>
    </row>
    <row r="25">
      <c r="A25" s="2"/>
      <c r="B25" s="2"/>
      <c r="C25" s="2"/>
      <c r="D25" s="2"/>
      <c r="E25" s="2"/>
      <c r="F25" s="2"/>
      <c r="G25" s="2"/>
      <c r="H25" s="123"/>
      <c r="I25" s="2"/>
      <c r="J25" s="2"/>
      <c r="K25" s="2"/>
      <c r="L25" s="2"/>
      <c r="M25" s="2"/>
      <c r="N25" s="2"/>
      <c r="O25" s="2"/>
      <c r="P25" s="2"/>
      <c r="Q25" s="2"/>
      <c r="R25" s="2"/>
      <c r="S25" s="2"/>
      <c r="T25" s="2"/>
    </row>
    <row r="26">
      <c r="A26" s="2"/>
      <c r="B26" s="2"/>
      <c r="C26" s="2"/>
      <c r="D26" s="2"/>
      <c r="E26" s="2"/>
      <c r="F26" s="2"/>
      <c r="G26" s="2"/>
      <c r="H26" s="123"/>
      <c r="I26" s="2"/>
      <c r="J26" s="2"/>
      <c r="K26" s="2"/>
      <c r="L26" s="2"/>
      <c r="M26" s="2"/>
      <c r="N26" s="2"/>
      <c r="O26" s="2"/>
      <c r="P26" s="2"/>
      <c r="Q26" s="2"/>
      <c r="R26" s="2"/>
      <c r="S26" s="2"/>
      <c r="T26" s="2"/>
    </row>
    <row r="27">
      <c r="A27" s="2"/>
      <c r="B27" s="2"/>
      <c r="C27" s="2"/>
      <c r="D27" s="2"/>
      <c r="E27" s="2"/>
      <c r="F27" s="2"/>
      <c r="G27" s="2"/>
      <c r="H27" s="123"/>
      <c r="I27" s="2"/>
      <c r="J27" s="2"/>
      <c r="K27" s="2"/>
      <c r="L27" s="2"/>
      <c r="M27" s="2"/>
      <c r="N27" s="2"/>
      <c r="O27" s="2"/>
      <c r="P27" s="2"/>
      <c r="Q27" s="2"/>
      <c r="R27" s="2"/>
      <c r="S27" s="2"/>
      <c r="T27" s="2"/>
    </row>
    <row r="28">
      <c r="A28" s="2"/>
      <c r="B28" s="2"/>
      <c r="C28" s="2"/>
      <c r="D28" s="2"/>
      <c r="E28" s="2"/>
      <c r="F28" s="2"/>
      <c r="G28" s="2"/>
      <c r="H28" s="123"/>
      <c r="I28" s="2"/>
      <c r="J28" s="2"/>
      <c r="K28" s="2"/>
      <c r="L28" s="2"/>
      <c r="M28" s="2"/>
      <c r="N28" s="2"/>
      <c r="O28" s="2"/>
      <c r="P28" s="2"/>
      <c r="Q28" s="2"/>
      <c r="R28" s="2"/>
      <c r="S28" s="2"/>
      <c r="T28" s="2"/>
    </row>
    <row r="29">
      <c r="A29" s="2"/>
      <c r="B29" s="2"/>
      <c r="C29" s="2"/>
      <c r="D29" s="2"/>
      <c r="E29" s="2"/>
      <c r="F29" s="2"/>
      <c r="G29" s="2"/>
      <c r="H29" s="123"/>
      <c r="I29" s="2"/>
      <c r="J29" s="2"/>
      <c r="K29" s="2"/>
      <c r="L29" s="2"/>
      <c r="M29" s="2"/>
      <c r="N29" s="2"/>
      <c r="O29" s="2"/>
      <c r="P29" s="2"/>
      <c r="Q29" s="2"/>
      <c r="R29" s="2"/>
      <c r="S29" s="2"/>
      <c r="T29" s="2"/>
    </row>
    <row r="30">
      <c r="A30" s="2"/>
      <c r="B30" s="2"/>
      <c r="C30" s="2"/>
      <c r="D30" s="2"/>
      <c r="E30" s="2"/>
      <c r="F30" s="2"/>
      <c r="G30" s="2"/>
      <c r="H30" s="123"/>
      <c r="I30" s="2"/>
      <c r="J30" s="2"/>
      <c r="K30" s="2"/>
      <c r="L30" s="2"/>
      <c r="M30" s="2"/>
      <c r="N30" s="2"/>
      <c r="O30" s="2"/>
      <c r="P30" s="2"/>
      <c r="Q30" s="2"/>
      <c r="R30" s="2"/>
      <c r="S30" s="2"/>
      <c r="T30" s="2"/>
    </row>
    <row r="31">
      <c r="A31" s="2"/>
      <c r="B31" s="2"/>
      <c r="C31" s="2"/>
      <c r="D31" s="2"/>
      <c r="E31" s="2"/>
      <c r="F31" s="2"/>
      <c r="G31" s="2"/>
      <c r="H31" s="123"/>
      <c r="I31" s="2"/>
      <c r="J31" s="2"/>
      <c r="K31" s="2"/>
      <c r="L31" s="2"/>
      <c r="M31" s="2"/>
      <c r="N31" s="2"/>
      <c r="O31" s="2"/>
      <c r="P31" s="2"/>
      <c r="Q31" s="2"/>
      <c r="R31" s="2"/>
      <c r="S31" s="2"/>
      <c r="T31" s="2"/>
    </row>
    <row r="32">
      <c r="A32" s="2"/>
      <c r="B32" s="2"/>
      <c r="C32" s="2"/>
      <c r="D32" s="2"/>
      <c r="E32" s="2"/>
      <c r="F32" s="2"/>
      <c r="G32" s="2"/>
      <c r="H32" s="123"/>
      <c r="I32" s="2"/>
      <c r="J32" s="2"/>
      <c r="K32" s="2"/>
      <c r="L32" s="2"/>
      <c r="M32" s="2"/>
      <c r="N32" s="2"/>
      <c r="O32" s="2"/>
      <c r="P32" s="2"/>
      <c r="Q32" s="2"/>
      <c r="R32" s="2"/>
      <c r="S32" s="2"/>
      <c r="T32" s="2"/>
    </row>
    <row r="33">
      <c r="A33" s="2"/>
      <c r="B33" s="2"/>
      <c r="C33" s="2"/>
      <c r="D33" s="2"/>
      <c r="E33" s="2"/>
      <c r="F33" s="2"/>
      <c r="G33" s="2"/>
      <c r="H33" s="123"/>
      <c r="I33" s="2"/>
      <c r="J33" s="2"/>
      <c r="K33" s="2"/>
      <c r="L33" s="2"/>
      <c r="M33" s="2"/>
      <c r="N33" s="2"/>
      <c r="O33" s="2"/>
      <c r="P33" s="2"/>
      <c r="Q33" s="2"/>
      <c r="R33" s="2"/>
      <c r="S33" s="2"/>
      <c r="T33" s="2"/>
    </row>
    <row r="34">
      <c r="A34" s="2"/>
      <c r="B34" s="2"/>
      <c r="C34" s="2"/>
      <c r="D34" s="2"/>
      <c r="E34" s="2"/>
      <c r="F34" s="2"/>
      <c r="G34" s="2"/>
      <c r="H34" s="123"/>
      <c r="I34" s="2"/>
      <c r="J34" s="2"/>
      <c r="K34" s="2"/>
      <c r="L34" s="2"/>
      <c r="M34" s="2"/>
      <c r="N34" s="2"/>
      <c r="O34" s="2"/>
      <c r="P34" s="2"/>
      <c r="Q34" s="2"/>
      <c r="R34" s="2"/>
      <c r="S34" s="2"/>
      <c r="T34" s="2"/>
    </row>
    <row r="35">
      <c r="A35" s="2"/>
      <c r="B35" s="2"/>
      <c r="C35" s="2"/>
      <c r="D35" s="2"/>
      <c r="E35" s="2"/>
      <c r="F35" s="2"/>
      <c r="G35" s="2"/>
      <c r="H35" s="123"/>
      <c r="I35" s="2"/>
      <c r="J35" s="2"/>
      <c r="K35" s="2"/>
      <c r="L35" s="2"/>
      <c r="M35" s="2"/>
      <c r="N35" s="2"/>
      <c r="O35" s="2"/>
      <c r="P35" s="2"/>
      <c r="Q35" s="2"/>
      <c r="R35" s="2"/>
      <c r="S35" s="2"/>
      <c r="T35" s="2"/>
    </row>
    <row r="36">
      <c r="A36" s="2"/>
      <c r="B36" s="2"/>
      <c r="C36" s="2"/>
      <c r="D36" s="2"/>
      <c r="E36" s="2"/>
      <c r="F36" s="2"/>
      <c r="G36" s="2"/>
      <c r="H36" s="123"/>
      <c r="I36" s="2"/>
      <c r="J36" s="2"/>
      <c r="K36" s="2"/>
      <c r="L36" s="2"/>
      <c r="M36" s="2"/>
      <c r="N36" s="2"/>
      <c r="O36" s="2"/>
      <c r="P36" s="2"/>
      <c r="Q36" s="2"/>
      <c r="R36" s="2"/>
      <c r="S36" s="2"/>
      <c r="T36" s="2"/>
    </row>
    <row r="37">
      <c r="A37" s="2"/>
      <c r="B37" s="2"/>
      <c r="C37" s="2"/>
      <c r="D37" s="2"/>
      <c r="E37" s="2"/>
      <c r="F37" s="2"/>
      <c r="G37" s="2"/>
      <c r="H37" s="123"/>
      <c r="I37" s="2"/>
      <c r="J37" s="2"/>
      <c r="K37" s="2"/>
      <c r="L37" s="2"/>
      <c r="M37" s="2"/>
      <c r="N37" s="2"/>
      <c r="O37" s="2"/>
      <c r="P37" s="2"/>
      <c r="Q37" s="2"/>
      <c r="R37" s="2"/>
      <c r="S37" s="2"/>
      <c r="T37" s="2"/>
    </row>
    <row r="38">
      <c r="A38" s="2"/>
      <c r="B38" s="2"/>
      <c r="C38" s="2"/>
      <c r="D38" s="2"/>
      <c r="E38" s="2"/>
      <c r="F38" s="2"/>
      <c r="G38" s="2"/>
      <c r="H38" s="123"/>
      <c r="I38" s="2"/>
      <c r="J38" s="2"/>
      <c r="K38" s="2"/>
      <c r="L38" s="2"/>
      <c r="M38" s="2"/>
      <c r="N38" s="2"/>
      <c r="O38" s="2"/>
      <c r="P38" s="2"/>
      <c r="Q38" s="2"/>
      <c r="R38" s="2"/>
      <c r="S38" s="2"/>
      <c r="T38" s="2"/>
    </row>
    <row r="39">
      <c r="A39" s="2"/>
      <c r="B39" s="2"/>
      <c r="C39" s="2"/>
      <c r="D39" s="2"/>
      <c r="E39" s="2"/>
      <c r="F39" s="2"/>
      <c r="G39" s="2"/>
      <c r="H39" s="123"/>
      <c r="I39" s="2"/>
      <c r="J39" s="2"/>
      <c r="K39" s="2"/>
      <c r="L39" s="2"/>
      <c r="M39" s="2"/>
      <c r="N39" s="2"/>
      <c r="O39" s="2"/>
      <c r="P39" s="2"/>
      <c r="Q39" s="2"/>
      <c r="R39" s="2"/>
      <c r="S39" s="2"/>
      <c r="T39" s="2"/>
    </row>
    <row r="40">
      <c r="A40" s="2"/>
      <c r="B40" s="2"/>
      <c r="C40" s="2"/>
      <c r="D40" s="2"/>
      <c r="E40" s="2"/>
      <c r="F40" s="2"/>
      <c r="G40" s="2"/>
      <c r="H40" s="123"/>
      <c r="I40" s="2"/>
      <c r="J40" s="2"/>
      <c r="K40" s="2"/>
      <c r="L40" s="2"/>
      <c r="M40" s="2"/>
      <c r="N40" s="2"/>
      <c r="O40" s="2"/>
      <c r="P40" s="2"/>
      <c r="Q40" s="2"/>
      <c r="R40" s="2"/>
      <c r="S40" s="2"/>
      <c r="T40" s="2"/>
    </row>
    <row r="41">
      <c r="A41" s="2"/>
      <c r="B41" s="2"/>
      <c r="C41" s="2"/>
      <c r="D41" s="2"/>
      <c r="E41" s="2"/>
      <c r="F41" s="2"/>
      <c r="G41" s="2"/>
      <c r="H41" s="123"/>
      <c r="I41" s="2"/>
      <c r="J41" s="2"/>
      <c r="K41" s="2"/>
      <c r="L41" s="2"/>
      <c r="M41" s="2"/>
      <c r="N41" s="2"/>
      <c r="O41" s="2"/>
      <c r="P41" s="2"/>
      <c r="Q41" s="2"/>
      <c r="R41" s="2"/>
      <c r="S41" s="2"/>
      <c r="T41" s="2"/>
    </row>
    <row r="42">
      <c r="A42" s="2"/>
      <c r="B42" s="2"/>
      <c r="C42" s="2"/>
      <c r="D42" s="2"/>
      <c r="E42" s="2"/>
      <c r="F42" s="2"/>
      <c r="G42" s="2"/>
      <c r="H42" s="123"/>
      <c r="I42" s="2"/>
      <c r="J42" s="2"/>
      <c r="K42" s="2"/>
      <c r="L42" s="2"/>
      <c r="M42" s="2"/>
      <c r="N42" s="2"/>
      <c r="O42" s="2"/>
      <c r="P42" s="2"/>
      <c r="Q42" s="2"/>
      <c r="R42" s="2"/>
      <c r="S42" s="2"/>
      <c r="T42" s="2"/>
    </row>
    <row r="43">
      <c r="A43" s="2"/>
      <c r="B43" s="2"/>
      <c r="C43" s="2"/>
      <c r="D43" s="2"/>
      <c r="E43" s="2"/>
      <c r="F43" s="2"/>
      <c r="G43" s="2"/>
      <c r="H43" s="123"/>
      <c r="I43" s="2"/>
      <c r="J43" s="2"/>
      <c r="K43" s="2"/>
      <c r="L43" s="2"/>
      <c r="M43" s="2"/>
      <c r="N43" s="2"/>
      <c r="O43" s="2"/>
      <c r="P43" s="2"/>
      <c r="Q43" s="2"/>
      <c r="R43" s="2"/>
      <c r="S43" s="2"/>
      <c r="T43" s="2"/>
    </row>
    <row r="44">
      <c r="A44" s="2"/>
      <c r="B44" s="2"/>
      <c r="C44" s="2"/>
      <c r="D44" s="2"/>
      <c r="E44" s="2"/>
      <c r="F44" s="2"/>
      <c r="G44" s="2"/>
      <c r="H44" s="123"/>
      <c r="I44" s="2"/>
      <c r="J44" s="2"/>
      <c r="K44" s="2"/>
      <c r="L44" s="2"/>
      <c r="M44" s="2"/>
      <c r="N44" s="2"/>
      <c r="O44" s="2"/>
      <c r="P44" s="2"/>
      <c r="Q44" s="2"/>
      <c r="R44" s="2"/>
      <c r="S44" s="2"/>
      <c r="T44" s="2"/>
    </row>
    <row r="45">
      <c r="A45" s="2"/>
      <c r="B45" s="2"/>
      <c r="C45" s="2"/>
      <c r="D45" s="2"/>
      <c r="E45" s="2"/>
      <c r="F45" s="2"/>
      <c r="G45" s="2"/>
      <c r="H45" s="123"/>
      <c r="I45" s="2"/>
      <c r="J45" s="2"/>
      <c r="K45" s="2"/>
      <c r="L45" s="2"/>
      <c r="M45" s="2"/>
      <c r="N45" s="2"/>
      <c r="O45" s="2"/>
      <c r="P45" s="2"/>
      <c r="Q45" s="2"/>
      <c r="R45" s="2"/>
      <c r="S45" s="2"/>
      <c r="T45" s="2"/>
    </row>
    <row r="46">
      <c r="A46" s="2"/>
      <c r="B46" s="2"/>
      <c r="C46" s="2"/>
      <c r="D46" s="2"/>
      <c r="E46" s="2"/>
      <c r="F46" s="2"/>
      <c r="G46" s="2"/>
      <c r="H46" s="123"/>
      <c r="I46" s="2"/>
      <c r="J46" s="2"/>
      <c r="K46" s="2"/>
      <c r="L46" s="2"/>
      <c r="M46" s="2"/>
      <c r="N46" s="2"/>
      <c r="O46" s="2"/>
      <c r="P46" s="2"/>
      <c r="Q46" s="2"/>
      <c r="R46" s="2"/>
      <c r="S46" s="2"/>
      <c r="T46" s="2"/>
    </row>
    <row r="47">
      <c r="A47" s="2"/>
      <c r="B47" s="2"/>
      <c r="C47" s="2"/>
      <c r="D47" s="2"/>
      <c r="E47" s="2"/>
      <c r="F47" s="2"/>
      <c r="G47" s="2"/>
      <c r="H47" s="123"/>
      <c r="I47" s="2"/>
      <c r="J47" s="2"/>
      <c r="K47" s="2"/>
      <c r="L47" s="2"/>
      <c r="M47" s="2"/>
      <c r="N47" s="2"/>
      <c r="O47" s="2"/>
      <c r="P47" s="2"/>
      <c r="Q47" s="2"/>
      <c r="R47" s="2"/>
      <c r="S47" s="2"/>
      <c r="T47" s="2"/>
    </row>
    <row r="48">
      <c r="A48" s="2"/>
      <c r="B48" s="2"/>
      <c r="C48" s="2"/>
      <c r="D48" s="2"/>
      <c r="E48" s="2"/>
      <c r="F48" s="2"/>
      <c r="G48" s="2"/>
      <c r="H48" s="123"/>
      <c r="I48" s="2"/>
      <c r="J48" s="2"/>
      <c r="K48" s="2"/>
      <c r="L48" s="2"/>
      <c r="M48" s="2"/>
      <c r="N48" s="2"/>
      <c r="O48" s="2"/>
      <c r="P48" s="2"/>
      <c r="Q48" s="2"/>
      <c r="R48" s="2"/>
      <c r="S48" s="2"/>
      <c r="T48" s="2"/>
    </row>
    <row r="49">
      <c r="A49" s="2"/>
      <c r="B49" s="2"/>
      <c r="C49" s="2"/>
      <c r="D49" s="2"/>
      <c r="E49" s="2"/>
      <c r="F49" s="2"/>
      <c r="G49" s="2"/>
      <c r="H49" s="123"/>
      <c r="I49" s="2"/>
      <c r="J49" s="2"/>
      <c r="K49" s="2"/>
      <c r="L49" s="2"/>
      <c r="M49" s="2"/>
      <c r="N49" s="2"/>
      <c r="O49" s="2"/>
      <c r="P49" s="2"/>
      <c r="Q49" s="2"/>
      <c r="R49" s="2"/>
      <c r="S49" s="2"/>
      <c r="T49" s="2"/>
    </row>
    <row r="50">
      <c r="A50" s="2"/>
      <c r="B50" s="2"/>
      <c r="C50" s="2"/>
      <c r="D50" s="2"/>
      <c r="E50" s="2"/>
      <c r="F50" s="2"/>
      <c r="G50" s="2"/>
      <c r="H50" s="123"/>
      <c r="I50" s="2"/>
      <c r="J50" s="2"/>
      <c r="K50" s="2"/>
      <c r="L50" s="2"/>
      <c r="M50" s="2"/>
      <c r="N50" s="2"/>
      <c r="O50" s="2"/>
      <c r="P50" s="2"/>
      <c r="Q50" s="2"/>
      <c r="R50" s="2"/>
      <c r="S50" s="2"/>
      <c r="T50" s="2"/>
    </row>
    <row r="51">
      <c r="A51" s="2"/>
      <c r="B51" s="2"/>
      <c r="C51" s="2"/>
      <c r="D51" s="2"/>
      <c r="E51" s="2"/>
      <c r="F51" s="2"/>
      <c r="G51" s="2"/>
      <c r="H51" s="123"/>
      <c r="I51" s="2"/>
      <c r="J51" s="2"/>
      <c r="K51" s="2"/>
      <c r="L51" s="2"/>
      <c r="M51" s="2"/>
      <c r="N51" s="2"/>
      <c r="O51" s="2"/>
      <c r="P51" s="2"/>
      <c r="Q51" s="2"/>
      <c r="R51" s="2"/>
      <c r="S51" s="2"/>
      <c r="T51" s="2"/>
    </row>
    <row r="52">
      <c r="A52" s="2"/>
      <c r="B52" s="2"/>
      <c r="C52" s="2"/>
      <c r="D52" s="2"/>
      <c r="E52" s="2"/>
      <c r="F52" s="2"/>
      <c r="G52" s="2"/>
      <c r="H52" s="123"/>
      <c r="I52" s="2"/>
      <c r="J52" s="2"/>
      <c r="K52" s="2"/>
      <c r="L52" s="2"/>
      <c r="M52" s="2"/>
      <c r="N52" s="2"/>
      <c r="O52" s="2"/>
      <c r="P52" s="2"/>
      <c r="Q52" s="2"/>
      <c r="R52" s="2"/>
      <c r="S52" s="2"/>
      <c r="T52" s="2"/>
    </row>
    <row r="53">
      <c r="A53" s="2"/>
      <c r="B53" s="2"/>
      <c r="C53" s="2"/>
      <c r="D53" s="2"/>
      <c r="E53" s="2"/>
      <c r="F53" s="2"/>
      <c r="G53" s="2"/>
      <c r="H53" s="123"/>
      <c r="I53" s="2"/>
      <c r="J53" s="2"/>
      <c r="K53" s="2"/>
      <c r="L53" s="2"/>
      <c r="M53" s="2"/>
      <c r="N53" s="2"/>
      <c r="O53" s="2"/>
      <c r="P53" s="2"/>
      <c r="Q53" s="2"/>
      <c r="R53" s="2"/>
      <c r="S53" s="2"/>
      <c r="T53" s="2"/>
    </row>
    <row r="54">
      <c r="A54" s="2"/>
      <c r="B54" s="2"/>
      <c r="C54" s="2"/>
      <c r="D54" s="2"/>
      <c r="E54" s="2"/>
      <c r="F54" s="2"/>
      <c r="G54" s="2"/>
      <c r="H54" s="123"/>
      <c r="I54" s="2"/>
      <c r="J54" s="2"/>
      <c r="K54" s="2"/>
      <c r="L54" s="2"/>
      <c r="M54" s="2"/>
      <c r="N54" s="2"/>
      <c r="O54" s="2"/>
      <c r="P54" s="2"/>
      <c r="Q54" s="2"/>
      <c r="R54" s="2"/>
      <c r="S54" s="2"/>
      <c r="T54" s="2"/>
    </row>
    <row r="55">
      <c r="A55" s="2"/>
      <c r="B55" s="2"/>
      <c r="C55" s="2"/>
      <c r="D55" s="2"/>
      <c r="E55" s="2"/>
      <c r="F55" s="2"/>
      <c r="G55" s="2"/>
      <c r="H55" s="123"/>
      <c r="I55" s="2"/>
      <c r="J55" s="2"/>
      <c r="K55" s="2"/>
      <c r="L55" s="2"/>
      <c r="M55" s="2"/>
      <c r="N55" s="2"/>
      <c r="O55" s="2"/>
      <c r="P55" s="2"/>
      <c r="Q55" s="2"/>
      <c r="R55" s="2"/>
      <c r="S55" s="2"/>
      <c r="T55" s="2"/>
    </row>
    <row r="56">
      <c r="A56" s="2"/>
      <c r="B56" s="2"/>
      <c r="C56" s="2"/>
      <c r="D56" s="2"/>
      <c r="E56" s="2"/>
      <c r="F56" s="2"/>
      <c r="G56" s="2"/>
      <c r="H56" s="123"/>
      <c r="I56" s="2"/>
      <c r="J56" s="2"/>
      <c r="K56" s="2"/>
      <c r="L56" s="2"/>
      <c r="M56" s="2"/>
      <c r="N56" s="2"/>
      <c r="O56" s="2"/>
      <c r="P56" s="2"/>
      <c r="Q56" s="2"/>
      <c r="R56" s="2"/>
      <c r="S56" s="2"/>
      <c r="T56" s="2"/>
    </row>
    <row r="57">
      <c r="A57" s="2"/>
      <c r="B57" s="2"/>
      <c r="C57" s="2"/>
      <c r="D57" s="2"/>
      <c r="E57" s="2"/>
      <c r="F57" s="2"/>
      <c r="G57" s="2"/>
      <c r="H57" s="123"/>
      <c r="I57" s="2"/>
      <c r="J57" s="2"/>
      <c r="K57" s="2"/>
      <c r="L57" s="2"/>
      <c r="M57" s="2"/>
      <c r="N57" s="2"/>
      <c r="O57" s="2"/>
      <c r="P57" s="2"/>
      <c r="Q57" s="2"/>
      <c r="R57" s="2"/>
      <c r="S57" s="2"/>
      <c r="T57" s="2"/>
    </row>
    <row r="58">
      <c r="A58" s="2"/>
      <c r="B58" s="2"/>
      <c r="C58" s="2"/>
      <c r="D58" s="2"/>
      <c r="E58" s="2"/>
      <c r="F58" s="2"/>
      <c r="G58" s="2"/>
      <c r="H58" s="123"/>
      <c r="I58" s="2"/>
      <c r="J58" s="2"/>
      <c r="K58" s="2"/>
      <c r="L58" s="2"/>
      <c r="M58" s="2"/>
      <c r="N58" s="2"/>
      <c r="O58" s="2"/>
      <c r="P58" s="2"/>
      <c r="Q58" s="2"/>
      <c r="R58" s="2"/>
      <c r="S58" s="2"/>
      <c r="T58" s="2"/>
    </row>
    <row r="59">
      <c r="A59" s="2"/>
      <c r="B59" s="2"/>
      <c r="C59" s="2"/>
      <c r="D59" s="2"/>
      <c r="E59" s="2"/>
      <c r="F59" s="2"/>
      <c r="G59" s="2"/>
      <c r="H59" s="123"/>
      <c r="I59" s="2"/>
      <c r="J59" s="2"/>
      <c r="K59" s="2"/>
      <c r="L59" s="2"/>
      <c r="M59" s="2"/>
      <c r="N59" s="2"/>
      <c r="O59" s="2"/>
      <c r="P59" s="2"/>
      <c r="Q59" s="2"/>
      <c r="R59" s="2"/>
      <c r="S59" s="2"/>
      <c r="T59" s="2"/>
    </row>
    <row r="60">
      <c r="A60" s="2"/>
      <c r="B60" s="2"/>
      <c r="C60" s="2"/>
      <c r="D60" s="2"/>
      <c r="E60" s="2"/>
      <c r="F60" s="2"/>
      <c r="G60" s="2"/>
      <c r="H60" s="123"/>
      <c r="I60" s="2"/>
      <c r="J60" s="2"/>
      <c r="K60" s="2"/>
      <c r="L60" s="2"/>
      <c r="M60" s="2"/>
      <c r="N60" s="2"/>
      <c r="O60" s="2"/>
      <c r="P60" s="2"/>
      <c r="Q60" s="2"/>
      <c r="R60" s="2"/>
      <c r="S60" s="2"/>
      <c r="T60" s="2"/>
    </row>
    <row r="61">
      <c r="A61" s="2"/>
      <c r="B61" s="2"/>
      <c r="C61" s="2"/>
      <c r="D61" s="2"/>
      <c r="E61" s="2"/>
      <c r="F61" s="2"/>
      <c r="G61" s="2"/>
      <c r="H61" s="123"/>
      <c r="I61" s="2"/>
      <c r="J61" s="2"/>
      <c r="K61" s="2"/>
      <c r="L61" s="2"/>
      <c r="M61" s="2"/>
      <c r="N61" s="2"/>
      <c r="O61" s="2"/>
      <c r="P61" s="2"/>
      <c r="Q61" s="2"/>
      <c r="R61" s="2"/>
      <c r="S61" s="2"/>
      <c r="T61" s="2"/>
    </row>
    <row r="62">
      <c r="A62" s="2"/>
      <c r="B62" s="2"/>
      <c r="C62" s="2"/>
      <c r="D62" s="2"/>
      <c r="E62" s="2"/>
      <c r="F62" s="2"/>
      <c r="G62" s="2"/>
      <c r="H62" s="123"/>
      <c r="I62" s="2"/>
      <c r="J62" s="2"/>
      <c r="K62" s="2"/>
      <c r="L62" s="2"/>
      <c r="M62" s="2"/>
      <c r="N62" s="2"/>
      <c r="O62" s="2"/>
      <c r="P62" s="2"/>
      <c r="Q62" s="2"/>
      <c r="R62" s="2"/>
      <c r="S62" s="2"/>
      <c r="T62" s="2"/>
    </row>
    <row r="63">
      <c r="A63" s="2"/>
      <c r="B63" s="2"/>
      <c r="C63" s="2"/>
      <c r="D63" s="2"/>
      <c r="E63" s="2"/>
      <c r="F63" s="2"/>
      <c r="G63" s="2"/>
      <c r="H63" s="123"/>
      <c r="I63" s="2"/>
      <c r="J63" s="2"/>
      <c r="K63" s="2"/>
      <c r="L63" s="2"/>
      <c r="M63" s="2"/>
      <c r="N63" s="2"/>
      <c r="O63" s="2"/>
      <c r="P63" s="2"/>
      <c r="Q63" s="2"/>
      <c r="R63" s="2"/>
      <c r="S63" s="2"/>
      <c r="T63" s="2"/>
    </row>
    <row r="64">
      <c r="A64" s="2"/>
      <c r="B64" s="2"/>
      <c r="C64" s="2"/>
      <c r="D64" s="2"/>
      <c r="E64" s="2"/>
      <c r="F64" s="2"/>
      <c r="G64" s="2"/>
      <c r="H64" s="123"/>
      <c r="I64" s="2"/>
      <c r="J64" s="2"/>
      <c r="K64" s="2"/>
      <c r="L64" s="2"/>
      <c r="M64" s="2"/>
      <c r="N64" s="2"/>
      <c r="O64" s="2"/>
      <c r="P64" s="2"/>
      <c r="Q64" s="2"/>
      <c r="R64" s="2"/>
      <c r="S64" s="2"/>
      <c r="T64" s="2"/>
    </row>
    <row r="65">
      <c r="A65" s="2"/>
      <c r="B65" s="2"/>
      <c r="C65" s="2"/>
      <c r="D65" s="2"/>
      <c r="E65" s="2"/>
      <c r="F65" s="2"/>
      <c r="G65" s="2"/>
      <c r="H65" s="123"/>
      <c r="I65" s="2"/>
      <c r="J65" s="2"/>
      <c r="K65" s="2"/>
      <c r="L65" s="2"/>
      <c r="M65" s="2"/>
      <c r="N65" s="2"/>
      <c r="O65" s="2"/>
      <c r="P65" s="2"/>
      <c r="Q65" s="2"/>
      <c r="R65" s="2"/>
      <c r="S65" s="2"/>
      <c r="T65" s="2"/>
    </row>
    <row r="66">
      <c r="A66" s="2"/>
      <c r="B66" s="2"/>
      <c r="C66" s="2"/>
      <c r="D66" s="2"/>
      <c r="E66" s="2"/>
      <c r="F66" s="2"/>
      <c r="G66" s="2"/>
      <c r="H66" s="123"/>
      <c r="I66" s="2"/>
      <c r="J66" s="2"/>
      <c r="K66" s="2"/>
      <c r="L66" s="2"/>
      <c r="M66" s="2"/>
      <c r="N66" s="2"/>
      <c r="O66" s="2"/>
      <c r="P66" s="2"/>
      <c r="Q66" s="2"/>
      <c r="R66" s="2"/>
      <c r="S66" s="2"/>
      <c r="T66" s="2"/>
    </row>
    <row r="67">
      <c r="A67" s="2"/>
      <c r="B67" s="2"/>
      <c r="C67" s="2"/>
      <c r="D67" s="2"/>
      <c r="E67" s="2"/>
      <c r="F67" s="2"/>
      <c r="G67" s="2"/>
      <c r="H67" s="123"/>
      <c r="I67" s="2"/>
      <c r="J67" s="2"/>
      <c r="K67" s="2"/>
      <c r="L67" s="2"/>
      <c r="M67" s="2"/>
      <c r="N67" s="2"/>
      <c r="O67" s="2"/>
      <c r="P67" s="2"/>
      <c r="Q67" s="2"/>
      <c r="R67" s="2"/>
      <c r="S67" s="2"/>
      <c r="T67" s="2"/>
    </row>
    <row r="68">
      <c r="A68" s="2"/>
      <c r="B68" s="2"/>
      <c r="C68" s="2"/>
      <c r="D68" s="2"/>
      <c r="E68" s="2"/>
      <c r="F68" s="2"/>
      <c r="G68" s="2"/>
      <c r="H68" s="123"/>
      <c r="I68" s="2"/>
      <c r="J68" s="2"/>
      <c r="K68" s="2"/>
      <c r="L68" s="2"/>
      <c r="M68" s="2"/>
      <c r="N68" s="2"/>
      <c r="O68" s="2"/>
      <c r="P68" s="2"/>
      <c r="Q68" s="2"/>
      <c r="R68" s="2"/>
      <c r="S68" s="2"/>
      <c r="T68" s="2"/>
    </row>
    <row r="69">
      <c r="A69" s="2"/>
      <c r="B69" s="2"/>
      <c r="C69" s="2"/>
      <c r="D69" s="2"/>
      <c r="E69" s="2"/>
      <c r="F69" s="2"/>
      <c r="G69" s="2"/>
      <c r="H69" s="123"/>
      <c r="I69" s="2"/>
      <c r="J69" s="2"/>
      <c r="K69" s="2"/>
      <c r="L69" s="2"/>
      <c r="M69" s="2"/>
      <c r="N69" s="2"/>
      <c r="O69" s="2"/>
      <c r="P69" s="2"/>
      <c r="Q69" s="2"/>
      <c r="R69" s="2"/>
      <c r="S69" s="2"/>
      <c r="T69" s="2"/>
    </row>
    <row r="70">
      <c r="A70" s="2"/>
      <c r="B70" s="2"/>
      <c r="C70" s="2"/>
      <c r="D70" s="2"/>
      <c r="E70" s="2"/>
      <c r="F70" s="2"/>
      <c r="G70" s="2"/>
      <c r="H70" s="123"/>
      <c r="I70" s="2"/>
      <c r="J70" s="2"/>
      <c r="K70" s="2"/>
      <c r="L70" s="2"/>
      <c r="M70" s="2"/>
      <c r="N70" s="2"/>
      <c r="O70" s="2"/>
      <c r="P70" s="2"/>
      <c r="Q70" s="2"/>
      <c r="R70" s="2"/>
      <c r="S70" s="2"/>
      <c r="T70" s="2"/>
    </row>
    <row r="71">
      <c r="A71" s="2"/>
      <c r="B71" s="2"/>
      <c r="C71" s="2"/>
      <c r="D71" s="2"/>
      <c r="E71" s="2"/>
      <c r="F71" s="2"/>
      <c r="G71" s="2"/>
      <c r="H71" s="123"/>
      <c r="I71" s="2"/>
      <c r="J71" s="2"/>
      <c r="K71" s="2"/>
      <c r="L71" s="2"/>
      <c r="M71" s="2"/>
      <c r="N71" s="2"/>
      <c r="O71" s="2"/>
      <c r="P71" s="2"/>
      <c r="Q71" s="2"/>
      <c r="R71" s="2"/>
      <c r="S71" s="2"/>
      <c r="T71" s="2"/>
    </row>
    <row r="72">
      <c r="A72" s="2"/>
      <c r="B72" s="2"/>
      <c r="C72" s="2"/>
      <c r="D72" s="2"/>
      <c r="E72" s="2"/>
      <c r="F72" s="2"/>
      <c r="G72" s="2"/>
      <c r="H72" s="123"/>
      <c r="I72" s="2"/>
      <c r="J72" s="2"/>
      <c r="K72" s="2"/>
      <c r="L72" s="2"/>
      <c r="M72" s="2"/>
      <c r="N72" s="2"/>
      <c r="O72" s="2"/>
      <c r="P72" s="2"/>
      <c r="Q72" s="2"/>
      <c r="R72" s="2"/>
      <c r="S72" s="2"/>
      <c r="T72" s="2"/>
    </row>
    <row r="73">
      <c r="A73" s="2"/>
      <c r="B73" s="2"/>
      <c r="C73" s="2"/>
      <c r="D73" s="2"/>
      <c r="E73" s="2"/>
      <c r="F73" s="2"/>
      <c r="G73" s="2"/>
      <c r="H73" s="123"/>
      <c r="I73" s="2"/>
      <c r="J73" s="2"/>
      <c r="K73" s="2"/>
      <c r="L73" s="2"/>
      <c r="M73" s="2"/>
      <c r="N73" s="2"/>
      <c r="O73" s="2"/>
      <c r="P73" s="2"/>
      <c r="Q73" s="2"/>
      <c r="R73" s="2"/>
      <c r="S73" s="2"/>
      <c r="T73" s="2"/>
    </row>
    <row r="74">
      <c r="A74" s="2"/>
      <c r="B74" s="2"/>
      <c r="C74" s="2"/>
      <c r="D74" s="2"/>
      <c r="E74" s="2"/>
      <c r="F74" s="2"/>
      <c r="G74" s="2"/>
      <c r="H74" s="123"/>
      <c r="I74" s="2"/>
      <c r="J74" s="2"/>
      <c r="K74" s="2"/>
      <c r="L74" s="2"/>
      <c r="M74" s="2"/>
      <c r="N74" s="2"/>
      <c r="O74" s="2"/>
      <c r="P74" s="2"/>
      <c r="Q74" s="2"/>
      <c r="R74" s="2"/>
      <c r="S74" s="2"/>
      <c r="T74" s="2"/>
    </row>
    <row r="75">
      <c r="A75" s="2"/>
      <c r="B75" s="2"/>
      <c r="C75" s="2"/>
      <c r="D75" s="2"/>
      <c r="E75" s="2"/>
      <c r="F75" s="2"/>
      <c r="G75" s="2"/>
      <c r="H75" s="123"/>
      <c r="I75" s="2"/>
      <c r="J75" s="2"/>
      <c r="K75" s="2"/>
      <c r="L75" s="2"/>
      <c r="M75" s="2"/>
      <c r="N75" s="2"/>
      <c r="O75" s="2"/>
      <c r="P75" s="2"/>
      <c r="Q75" s="2"/>
      <c r="R75" s="2"/>
      <c r="S75" s="2"/>
      <c r="T75" s="2"/>
    </row>
    <row r="76">
      <c r="A76" s="2"/>
      <c r="B76" s="2"/>
      <c r="C76" s="2"/>
      <c r="D76" s="2"/>
      <c r="E76" s="2"/>
      <c r="F76" s="2"/>
      <c r="G76" s="2"/>
      <c r="H76" s="123"/>
      <c r="I76" s="2"/>
      <c r="J76" s="2"/>
      <c r="K76" s="2"/>
      <c r="L76" s="2"/>
      <c r="M76" s="2"/>
      <c r="N76" s="2"/>
      <c r="O76" s="2"/>
      <c r="P76" s="2"/>
      <c r="Q76" s="2"/>
      <c r="R76" s="2"/>
      <c r="S76" s="2"/>
      <c r="T76" s="2"/>
    </row>
    <row r="77">
      <c r="A77" s="2"/>
      <c r="B77" s="2"/>
      <c r="C77" s="2"/>
      <c r="D77" s="2"/>
      <c r="E77" s="2"/>
      <c r="F77" s="2"/>
      <c r="G77" s="2"/>
      <c r="H77" s="123"/>
      <c r="I77" s="2"/>
      <c r="J77" s="2"/>
      <c r="K77" s="2"/>
      <c r="L77" s="2"/>
      <c r="M77" s="2"/>
      <c r="N77" s="2"/>
      <c r="O77" s="2"/>
      <c r="P77" s="2"/>
      <c r="Q77" s="2"/>
      <c r="R77" s="2"/>
      <c r="S77" s="2"/>
      <c r="T77" s="2"/>
    </row>
    <row r="78">
      <c r="A78" s="2"/>
      <c r="B78" s="2"/>
      <c r="C78" s="2"/>
      <c r="D78" s="2"/>
      <c r="E78" s="2"/>
      <c r="F78" s="2"/>
      <c r="G78" s="2"/>
      <c r="H78" s="123"/>
      <c r="I78" s="2"/>
      <c r="J78" s="2"/>
      <c r="K78" s="2"/>
      <c r="L78" s="2"/>
      <c r="M78" s="2"/>
      <c r="N78" s="2"/>
      <c r="O78" s="2"/>
      <c r="P78" s="2"/>
      <c r="Q78" s="2"/>
      <c r="R78" s="2"/>
      <c r="S78" s="2"/>
      <c r="T78" s="2"/>
    </row>
    <row r="79">
      <c r="A79" s="2"/>
      <c r="B79" s="2"/>
      <c r="C79" s="2"/>
      <c r="D79" s="2"/>
      <c r="E79" s="2"/>
      <c r="F79" s="2"/>
      <c r="G79" s="2"/>
      <c r="H79" s="123"/>
      <c r="I79" s="2"/>
      <c r="J79" s="2"/>
      <c r="K79" s="2"/>
      <c r="L79" s="2"/>
      <c r="M79" s="2"/>
      <c r="N79" s="2"/>
      <c r="O79" s="2"/>
      <c r="P79" s="2"/>
      <c r="Q79" s="2"/>
      <c r="R79" s="2"/>
      <c r="S79" s="2"/>
      <c r="T79" s="2"/>
    </row>
    <row r="80">
      <c r="A80" s="2"/>
      <c r="B80" s="2"/>
      <c r="C80" s="2"/>
      <c r="D80" s="2"/>
      <c r="E80" s="2"/>
      <c r="F80" s="2"/>
      <c r="G80" s="2"/>
      <c r="H80" s="123"/>
      <c r="I80" s="2"/>
      <c r="J80" s="2"/>
      <c r="K80" s="2"/>
      <c r="L80" s="2"/>
      <c r="M80" s="2"/>
      <c r="N80" s="2"/>
      <c r="O80" s="2"/>
      <c r="P80" s="2"/>
      <c r="Q80" s="2"/>
      <c r="R80" s="2"/>
      <c r="S80" s="2"/>
      <c r="T80" s="2"/>
    </row>
    <row r="81">
      <c r="A81" s="2"/>
      <c r="B81" s="2"/>
      <c r="C81" s="2"/>
      <c r="D81" s="2"/>
      <c r="E81" s="2"/>
      <c r="F81" s="2"/>
      <c r="G81" s="2"/>
      <c r="H81" s="123"/>
      <c r="I81" s="2"/>
      <c r="J81" s="2"/>
      <c r="K81" s="2"/>
      <c r="L81" s="2"/>
      <c r="M81" s="2"/>
      <c r="N81" s="2"/>
      <c r="O81" s="2"/>
      <c r="P81" s="2"/>
      <c r="Q81" s="2"/>
      <c r="R81" s="2"/>
      <c r="S81" s="2"/>
      <c r="T81" s="2"/>
    </row>
    <row r="82">
      <c r="A82" s="2"/>
      <c r="B82" s="2"/>
      <c r="C82" s="2"/>
      <c r="D82" s="2"/>
      <c r="E82" s="2"/>
      <c r="F82" s="2"/>
      <c r="G82" s="2"/>
      <c r="H82" s="123"/>
      <c r="I82" s="2"/>
      <c r="J82" s="2"/>
      <c r="K82" s="2"/>
      <c r="L82" s="2"/>
      <c r="M82" s="2"/>
      <c r="N82" s="2"/>
      <c r="O82" s="2"/>
      <c r="P82" s="2"/>
      <c r="Q82" s="2"/>
      <c r="R82" s="2"/>
      <c r="S82" s="2"/>
      <c r="T82" s="2"/>
    </row>
    <row r="83">
      <c r="A83" s="2"/>
      <c r="B83" s="2"/>
      <c r="C83" s="2"/>
      <c r="D83" s="2"/>
      <c r="E83" s="2"/>
      <c r="F83" s="2"/>
      <c r="G83" s="2"/>
      <c r="H83" s="123"/>
      <c r="I83" s="2"/>
      <c r="J83" s="2"/>
      <c r="K83" s="2"/>
      <c r="L83" s="2"/>
      <c r="M83" s="2"/>
      <c r="N83" s="2"/>
      <c r="O83" s="2"/>
      <c r="P83" s="2"/>
      <c r="Q83" s="2"/>
      <c r="R83" s="2"/>
      <c r="S83" s="2"/>
      <c r="T83" s="2"/>
    </row>
    <row r="84">
      <c r="A84" s="2"/>
      <c r="B84" s="2"/>
      <c r="C84" s="2"/>
      <c r="D84" s="2"/>
      <c r="E84" s="2"/>
      <c r="F84" s="2"/>
      <c r="G84" s="2"/>
      <c r="H84" s="123"/>
      <c r="I84" s="2"/>
      <c r="J84" s="2"/>
      <c r="K84" s="2"/>
      <c r="L84" s="2"/>
      <c r="M84" s="2"/>
      <c r="N84" s="2"/>
      <c r="O84" s="2"/>
      <c r="P84" s="2"/>
      <c r="Q84" s="2"/>
      <c r="R84" s="2"/>
      <c r="S84" s="2"/>
      <c r="T84" s="2"/>
    </row>
    <row r="85">
      <c r="A85" s="2"/>
      <c r="B85" s="2"/>
      <c r="C85" s="2"/>
      <c r="D85" s="2"/>
      <c r="E85" s="2"/>
      <c r="F85" s="2"/>
      <c r="G85" s="2"/>
      <c r="H85" s="123"/>
      <c r="I85" s="2"/>
      <c r="J85" s="2"/>
      <c r="K85" s="2"/>
      <c r="L85" s="2"/>
      <c r="M85" s="2"/>
      <c r="N85" s="2"/>
      <c r="O85" s="2"/>
      <c r="P85" s="2"/>
      <c r="Q85" s="2"/>
      <c r="R85" s="2"/>
      <c r="S85" s="2"/>
      <c r="T85" s="2"/>
    </row>
    <row r="86">
      <c r="A86" s="2"/>
      <c r="B86" s="2"/>
      <c r="C86" s="2"/>
      <c r="D86" s="2"/>
      <c r="E86" s="2"/>
      <c r="F86" s="2"/>
      <c r="G86" s="2"/>
      <c r="H86" s="123"/>
      <c r="I86" s="2"/>
      <c r="J86" s="2"/>
      <c r="K86" s="2"/>
      <c r="L86" s="2"/>
      <c r="M86" s="2"/>
      <c r="N86" s="2"/>
      <c r="O86" s="2"/>
      <c r="P86" s="2"/>
      <c r="Q86" s="2"/>
      <c r="R86" s="2"/>
      <c r="S86" s="2"/>
      <c r="T86" s="2"/>
    </row>
    <row r="87">
      <c r="A87" s="2"/>
      <c r="B87" s="2"/>
      <c r="C87" s="2"/>
      <c r="D87" s="2"/>
      <c r="E87" s="2"/>
      <c r="F87" s="2"/>
      <c r="G87" s="2"/>
      <c r="H87" s="123"/>
      <c r="I87" s="2"/>
      <c r="J87" s="2"/>
      <c r="K87" s="2"/>
      <c r="L87" s="2"/>
      <c r="M87" s="2"/>
      <c r="N87" s="2"/>
      <c r="O87" s="2"/>
      <c r="P87" s="2"/>
      <c r="Q87" s="2"/>
      <c r="R87" s="2"/>
      <c r="S87" s="2"/>
      <c r="T87" s="2"/>
    </row>
    <row r="88">
      <c r="A88" s="2"/>
      <c r="B88" s="2"/>
      <c r="C88" s="2"/>
      <c r="D88" s="2"/>
      <c r="E88" s="2"/>
      <c r="F88" s="2"/>
      <c r="G88" s="2"/>
      <c r="H88" s="123"/>
      <c r="I88" s="2"/>
      <c r="J88" s="2"/>
      <c r="K88" s="2"/>
      <c r="L88" s="2"/>
      <c r="M88" s="2"/>
      <c r="N88" s="2"/>
      <c r="O88" s="2"/>
      <c r="P88" s="2"/>
      <c r="Q88" s="2"/>
      <c r="R88" s="2"/>
      <c r="S88" s="2"/>
      <c r="T88" s="2"/>
    </row>
    <row r="89">
      <c r="A89" s="2"/>
      <c r="B89" s="2"/>
      <c r="C89" s="2"/>
      <c r="D89" s="2"/>
      <c r="E89" s="2"/>
      <c r="F89" s="2"/>
      <c r="G89" s="2"/>
      <c r="H89" s="123"/>
      <c r="I89" s="2"/>
      <c r="J89" s="2"/>
      <c r="K89" s="2"/>
      <c r="L89" s="2"/>
      <c r="M89" s="2"/>
      <c r="N89" s="2"/>
      <c r="O89" s="2"/>
      <c r="P89" s="2"/>
      <c r="Q89" s="2"/>
      <c r="R89" s="2"/>
      <c r="S89" s="2"/>
      <c r="T89" s="2"/>
    </row>
    <row r="90">
      <c r="A90" s="2"/>
      <c r="B90" s="2"/>
      <c r="C90" s="2"/>
      <c r="D90" s="2"/>
      <c r="E90" s="2"/>
      <c r="F90" s="2"/>
      <c r="G90" s="2"/>
      <c r="H90" s="123"/>
      <c r="I90" s="2"/>
      <c r="J90" s="2"/>
      <c r="K90" s="2"/>
      <c r="L90" s="2"/>
      <c r="M90" s="2"/>
      <c r="N90" s="2"/>
      <c r="O90" s="2"/>
      <c r="P90" s="2"/>
      <c r="Q90" s="2"/>
      <c r="R90" s="2"/>
      <c r="S90" s="2"/>
      <c r="T90" s="2"/>
    </row>
    <row r="91">
      <c r="A91" s="2"/>
      <c r="B91" s="2"/>
      <c r="C91" s="2"/>
      <c r="D91" s="2"/>
      <c r="E91" s="2"/>
      <c r="F91" s="2"/>
      <c r="G91" s="2"/>
      <c r="H91" s="123"/>
      <c r="I91" s="2"/>
      <c r="J91" s="2"/>
      <c r="K91" s="2"/>
      <c r="L91" s="2"/>
      <c r="M91" s="2"/>
      <c r="N91" s="2"/>
      <c r="O91" s="2"/>
      <c r="P91" s="2"/>
      <c r="Q91" s="2"/>
      <c r="R91" s="2"/>
      <c r="S91" s="2"/>
      <c r="T91" s="2"/>
    </row>
    <row r="92">
      <c r="A92" s="2"/>
      <c r="B92" s="2"/>
      <c r="C92" s="2"/>
      <c r="D92" s="2"/>
      <c r="E92" s="2"/>
      <c r="F92" s="2"/>
      <c r="G92" s="2"/>
      <c r="H92" s="123"/>
      <c r="I92" s="2"/>
      <c r="J92" s="2"/>
      <c r="K92" s="2"/>
      <c r="L92" s="2"/>
      <c r="M92" s="2"/>
      <c r="N92" s="2"/>
      <c r="O92" s="2"/>
      <c r="P92" s="2"/>
      <c r="Q92" s="2"/>
      <c r="R92" s="2"/>
      <c r="S92" s="2"/>
      <c r="T92" s="2"/>
    </row>
    <row r="93">
      <c r="A93" s="2"/>
      <c r="B93" s="2"/>
      <c r="C93" s="2"/>
      <c r="D93" s="2"/>
      <c r="E93" s="2"/>
      <c r="F93" s="2"/>
      <c r="G93" s="2"/>
      <c r="H93" s="123"/>
      <c r="I93" s="2"/>
      <c r="J93" s="2"/>
      <c r="K93" s="2"/>
      <c r="L93" s="2"/>
      <c r="M93" s="2"/>
      <c r="N93" s="2"/>
      <c r="O93" s="2"/>
      <c r="P93" s="2"/>
      <c r="Q93" s="2"/>
      <c r="R93" s="2"/>
      <c r="S93" s="2"/>
      <c r="T93" s="2"/>
    </row>
    <row r="94">
      <c r="A94" s="2"/>
      <c r="B94" s="2"/>
      <c r="C94" s="2"/>
      <c r="D94" s="2"/>
      <c r="E94" s="2"/>
      <c r="F94" s="2"/>
      <c r="G94" s="2"/>
      <c r="H94" s="123"/>
      <c r="I94" s="2"/>
      <c r="J94" s="2"/>
      <c r="K94" s="2"/>
      <c r="L94" s="2"/>
      <c r="M94" s="2"/>
      <c r="N94" s="2"/>
      <c r="O94" s="2"/>
      <c r="P94" s="2"/>
      <c r="Q94" s="2"/>
      <c r="R94" s="2"/>
      <c r="S94" s="2"/>
      <c r="T94" s="2"/>
    </row>
    <row r="95">
      <c r="A95" s="2"/>
      <c r="B95" s="2"/>
      <c r="C95" s="2"/>
      <c r="D95" s="2"/>
      <c r="E95" s="2"/>
      <c r="F95" s="2"/>
      <c r="G95" s="2"/>
      <c r="H95" s="123"/>
      <c r="I95" s="2"/>
      <c r="J95" s="2"/>
      <c r="K95" s="2"/>
      <c r="L95" s="2"/>
      <c r="M95" s="2"/>
      <c r="N95" s="2"/>
      <c r="O95" s="2"/>
      <c r="P95" s="2"/>
      <c r="Q95" s="2"/>
      <c r="R95" s="2"/>
      <c r="S95" s="2"/>
      <c r="T95" s="2"/>
    </row>
    <row r="96">
      <c r="A96" s="2"/>
      <c r="B96" s="2"/>
      <c r="C96" s="2"/>
      <c r="D96" s="2"/>
      <c r="E96" s="2"/>
      <c r="F96" s="2"/>
      <c r="G96" s="2"/>
      <c r="H96" s="123"/>
      <c r="I96" s="2"/>
      <c r="J96" s="2"/>
      <c r="K96" s="2"/>
      <c r="L96" s="2"/>
      <c r="M96" s="2"/>
      <c r="N96" s="2"/>
      <c r="O96" s="2"/>
      <c r="P96" s="2"/>
      <c r="Q96" s="2"/>
      <c r="R96" s="2"/>
      <c r="S96" s="2"/>
      <c r="T96" s="2"/>
    </row>
    <row r="97">
      <c r="A97" s="2"/>
      <c r="B97" s="2"/>
      <c r="C97" s="2"/>
      <c r="D97" s="2"/>
      <c r="E97" s="2"/>
      <c r="F97" s="2"/>
      <c r="G97" s="2"/>
      <c r="H97" s="123"/>
      <c r="I97" s="2"/>
      <c r="J97" s="2"/>
      <c r="K97" s="2"/>
      <c r="L97" s="2"/>
      <c r="M97" s="2"/>
      <c r="N97" s="2"/>
      <c r="O97" s="2"/>
      <c r="P97" s="2"/>
      <c r="Q97" s="2"/>
      <c r="R97" s="2"/>
      <c r="S97" s="2"/>
      <c r="T97" s="2"/>
    </row>
    <row r="98">
      <c r="A98" s="2"/>
      <c r="B98" s="2"/>
      <c r="C98" s="2"/>
      <c r="D98" s="2"/>
      <c r="E98" s="2"/>
      <c r="F98" s="2"/>
      <c r="G98" s="2"/>
      <c r="H98" s="123"/>
      <c r="I98" s="2"/>
      <c r="J98" s="2"/>
      <c r="K98" s="2"/>
      <c r="L98" s="2"/>
      <c r="M98" s="2"/>
      <c r="N98" s="2"/>
      <c r="O98" s="2"/>
      <c r="P98" s="2"/>
      <c r="Q98" s="2"/>
      <c r="R98" s="2"/>
      <c r="S98" s="2"/>
      <c r="T98" s="2"/>
    </row>
    <row r="99">
      <c r="A99" s="2"/>
      <c r="B99" s="2"/>
      <c r="C99" s="2"/>
      <c r="D99" s="2"/>
      <c r="E99" s="2"/>
      <c r="F99" s="2"/>
      <c r="G99" s="2"/>
      <c r="H99" s="123"/>
      <c r="I99" s="2"/>
      <c r="J99" s="2"/>
      <c r="K99" s="2"/>
      <c r="L99" s="2"/>
      <c r="M99" s="2"/>
      <c r="N99" s="2"/>
      <c r="O99" s="2"/>
      <c r="P99" s="2"/>
      <c r="Q99" s="2"/>
      <c r="R99" s="2"/>
      <c r="S99" s="2"/>
      <c r="T99" s="2"/>
    </row>
    <row r="100">
      <c r="A100" s="2"/>
      <c r="B100" s="2"/>
      <c r="C100" s="2"/>
      <c r="D100" s="2"/>
      <c r="E100" s="2"/>
      <c r="F100" s="2"/>
      <c r="G100" s="2"/>
      <c r="H100" s="123"/>
      <c r="I100" s="2"/>
      <c r="J100" s="2"/>
      <c r="K100" s="2"/>
      <c r="L100" s="2"/>
      <c r="M100" s="2"/>
      <c r="N100" s="2"/>
      <c r="O100" s="2"/>
      <c r="P100" s="2"/>
      <c r="Q100" s="2"/>
      <c r="R100" s="2"/>
      <c r="S100" s="2"/>
      <c r="T100" s="2"/>
    </row>
    <row r="101">
      <c r="A101" s="2"/>
      <c r="B101" s="2"/>
      <c r="C101" s="2"/>
      <c r="D101" s="2"/>
      <c r="E101" s="2"/>
      <c r="F101" s="2"/>
      <c r="G101" s="2"/>
      <c r="H101" s="123"/>
      <c r="I101" s="2"/>
      <c r="J101" s="2"/>
      <c r="K101" s="2"/>
      <c r="L101" s="2"/>
      <c r="M101" s="2"/>
      <c r="N101" s="2"/>
      <c r="O101" s="2"/>
      <c r="P101" s="2"/>
      <c r="Q101" s="2"/>
      <c r="R101" s="2"/>
      <c r="S101" s="2"/>
      <c r="T101" s="2"/>
    </row>
    <row r="102">
      <c r="A102" s="2"/>
      <c r="B102" s="2"/>
      <c r="C102" s="2"/>
      <c r="D102" s="2"/>
      <c r="E102" s="2"/>
      <c r="F102" s="2"/>
      <c r="G102" s="2"/>
      <c r="H102" s="123"/>
      <c r="I102" s="2"/>
      <c r="J102" s="2"/>
      <c r="K102" s="2"/>
      <c r="L102" s="2"/>
      <c r="M102" s="2"/>
      <c r="N102" s="2"/>
      <c r="O102" s="2"/>
      <c r="P102" s="2"/>
      <c r="Q102" s="2"/>
      <c r="R102" s="2"/>
      <c r="S102" s="2"/>
      <c r="T102" s="2"/>
    </row>
    <row r="103">
      <c r="A103" s="2"/>
      <c r="B103" s="2"/>
      <c r="C103" s="2"/>
      <c r="D103" s="2"/>
      <c r="E103" s="2"/>
      <c r="F103" s="2"/>
      <c r="G103" s="2"/>
      <c r="H103" s="123"/>
      <c r="I103" s="2"/>
      <c r="J103" s="2"/>
      <c r="K103" s="2"/>
      <c r="L103" s="2"/>
      <c r="M103" s="2"/>
      <c r="N103" s="2"/>
      <c r="O103" s="2"/>
      <c r="P103" s="2"/>
      <c r="Q103" s="2"/>
      <c r="R103" s="2"/>
      <c r="S103" s="2"/>
      <c r="T103" s="2"/>
    </row>
    <row r="104">
      <c r="A104" s="2"/>
      <c r="B104" s="2"/>
      <c r="C104" s="2"/>
      <c r="D104" s="2"/>
      <c r="E104" s="2"/>
      <c r="F104" s="2"/>
      <c r="G104" s="2"/>
      <c r="H104" s="123"/>
      <c r="I104" s="2"/>
      <c r="J104" s="2"/>
      <c r="K104" s="2"/>
      <c r="L104" s="2"/>
      <c r="M104" s="2"/>
      <c r="N104" s="2"/>
      <c r="O104" s="2"/>
      <c r="P104" s="2"/>
      <c r="Q104" s="2"/>
      <c r="R104" s="2"/>
      <c r="S104" s="2"/>
      <c r="T104" s="2"/>
    </row>
    <row r="105">
      <c r="A105" s="2"/>
      <c r="B105" s="2"/>
      <c r="C105" s="2"/>
      <c r="D105" s="2"/>
      <c r="E105" s="2"/>
      <c r="F105" s="2"/>
      <c r="G105" s="2"/>
      <c r="H105" s="123"/>
      <c r="I105" s="2"/>
      <c r="J105" s="2"/>
      <c r="K105" s="2"/>
      <c r="L105" s="2"/>
      <c r="M105" s="2"/>
      <c r="N105" s="2"/>
      <c r="O105" s="2"/>
      <c r="P105" s="2"/>
      <c r="Q105" s="2"/>
      <c r="R105" s="2"/>
      <c r="S105" s="2"/>
      <c r="T105" s="2"/>
    </row>
    <row r="106">
      <c r="A106" s="2"/>
      <c r="B106" s="2"/>
      <c r="C106" s="2"/>
      <c r="D106" s="2"/>
      <c r="E106" s="2"/>
      <c r="F106" s="2"/>
      <c r="G106" s="2"/>
      <c r="H106" s="123"/>
      <c r="I106" s="2"/>
      <c r="J106" s="2"/>
      <c r="K106" s="2"/>
      <c r="L106" s="2"/>
      <c r="M106" s="2"/>
      <c r="N106" s="2"/>
      <c r="O106" s="2"/>
      <c r="P106" s="2"/>
      <c r="Q106" s="2"/>
      <c r="R106" s="2"/>
      <c r="S106" s="2"/>
      <c r="T106" s="2"/>
    </row>
    <row r="107">
      <c r="A107" s="2"/>
      <c r="B107" s="2"/>
      <c r="C107" s="2"/>
      <c r="D107" s="2"/>
      <c r="E107" s="2"/>
      <c r="F107" s="2"/>
      <c r="G107" s="2"/>
      <c r="H107" s="123"/>
      <c r="I107" s="2"/>
      <c r="J107" s="2"/>
      <c r="K107" s="2"/>
      <c r="L107" s="2"/>
      <c r="M107" s="2"/>
      <c r="N107" s="2"/>
      <c r="O107" s="2"/>
      <c r="P107" s="2"/>
      <c r="Q107" s="2"/>
      <c r="R107" s="2"/>
      <c r="S107" s="2"/>
      <c r="T107" s="2"/>
    </row>
    <row r="108">
      <c r="A108" s="2"/>
      <c r="B108" s="2"/>
      <c r="C108" s="2"/>
      <c r="D108" s="2"/>
      <c r="E108" s="2"/>
      <c r="F108" s="2"/>
      <c r="G108" s="2"/>
      <c r="H108" s="123"/>
      <c r="I108" s="2"/>
      <c r="J108" s="2"/>
      <c r="K108" s="2"/>
      <c r="L108" s="2"/>
      <c r="M108" s="2"/>
      <c r="N108" s="2"/>
      <c r="O108" s="2"/>
      <c r="P108" s="2"/>
      <c r="Q108" s="2"/>
      <c r="R108" s="2"/>
      <c r="S108" s="2"/>
      <c r="T108" s="2"/>
    </row>
    <row r="109">
      <c r="A109" s="2"/>
      <c r="B109" s="2"/>
      <c r="C109" s="2"/>
      <c r="D109" s="2"/>
      <c r="E109" s="2"/>
      <c r="F109" s="2"/>
      <c r="G109" s="2"/>
      <c r="H109" s="123"/>
      <c r="I109" s="2"/>
      <c r="J109" s="2"/>
      <c r="K109" s="2"/>
      <c r="L109" s="2"/>
      <c r="M109" s="2"/>
      <c r="N109" s="2"/>
      <c r="O109" s="2"/>
      <c r="P109" s="2"/>
      <c r="Q109" s="2"/>
      <c r="R109" s="2"/>
      <c r="S109" s="2"/>
      <c r="T109" s="2"/>
    </row>
    <row r="110">
      <c r="A110" s="2"/>
      <c r="B110" s="2"/>
      <c r="C110" s="2"/>
      <c r="D110" s="2"/>
      <c r="E110" s="2"/>
      <c r="F110" s="2"/>
      <c r="G110" s="2"/>
      <c r="H110" s="123"/>
      <c r="I110" s="2"/>
      <c r="J110" s="2"/>
      <c r="K110" s="2"/>
      <c r="L110" s="2"/>
      <c r="M110" s="2"/>
      <c r="N110" s="2"/>
      <c r="O110" s="2"/>
      <c r="P110" s="2"/>
      <c r="Q110" s="2"/>
      <c r="R110" s="2"/>
      <c r="S110" s="2"/>
      <c r="T110" s="2"/>
    </row>
    <row r="111">
      <c r="A111" s="2"/>
      <c r="B111" s="2"/>
      <c r="C111" s="2"/>
      <c r="D111" s="2"/>
      <c r="E111" s="2"/>
      <c r="F111" s="2"/>
      <c r="G111" s="2"/>
      <c r="H111" s="123"/>
      <c r="I111" s="2"/>
      <c r="J111" s="2"/>
      <c r="K111" s="2"/>
      <c r="L111" s="2"/>
      <c r="M111" s="2"/>
      <c r="N111" s="2"/>
      <c r="O111" s="2"/>
      <c r="P111" s="2"/>
      <c r="Q111" s="2"/>
      <c r="R111" s="2"/>
      <c r="S111" s="2"/>
      <c r="T111" s="2"/>
    </row>
    <row r="112">
      <c r="A112" s="2"/>
      <c r="B112" s="2"/>
      <c r="C112" s="2"/>
      <c r="D112" s="2"/>
      <c r="E112" s="2"/>
      <c r="F112" s="2"/>
      <c r="G112" s="2"/>
      <c r="H112" s="123"/>
      <c r="I112" s="2"/>
      <c r="J112" s="2"/>
      <c r="K112" s="2"/>
      <c r="L112" s="2"/>
      <c r="M112" s="2"/>
      <c r="N112" s="2"/>
      <c r="O112" s="2"/>
      <c r="P112" s="2"/>
      <c r="Q112" s="2"/>
      <c r="R112" s="2"/>
      <c r="S112" s="2"/>
      <c r="T112" s="2"/>
    </row>
    <row r="113">
      <c r="A113" s="2"/>
      <c r="B113" s="2"/>
      <c r="C113" s="2"/>
      <c r="D113" s="2"/>
      <c r="E113" s="2"/>
      <c r="F113" s="2"/>
      <c r="G113" s="2"/>
      <c r="H113" s="123"/>
      <c r="I113" s="2"/>
      <c r="J113" s="2"/>
      <c r="K113" s="2"/>
      <c r="L113" s="2"/>
      <c r="M113" s="2"/>
      <c r="N113" s="2"/>
      <c r="O113" s="2"/>
      <c r="P113" s="2"/>
      <c r="Q113" s="2"/>
      <c r="R113" s="2"/>
      <c r="S113" s="2"/>
      <c r="T113" s="2"/>
    </row>
    <row r="114">
      <c r="A114" s="2"/>
      <c r="B114" s="2"/>
      <c r="C114" s="2"/>
      <c r="D114" s="2"/>
      <c r="E114" s="2"/>
      <c r="F114" s="2"/>
      <c r="G114" s="2"/>
      <c r="H114" s="123"/>
      <c r="I114" s="2"/>
      <c r="J114" s="2"/>
      <c r="K114" s="2"/>
      <c r="L114" s="2"/>
      <c r="M114" s="2"/>
      <c r="N114" s="2"/>
      <c r="O114" s="2"/>
      <c r="P114" s="2"/>
      <c r="Q114" s="2"/>
      <c r="R114" s="2"/>
      <c r="S114" s="2"/>
      <c r="T114" s="2"/>
    </row>
    <row r="115">
      <c r="A115" s="2"/>
      <c r="B115" s="2"/>
      <c r="C115" s="2"/>
      <c r="D115" s="2"/>
      <c r="E115" s="2"/>
      <c r="F115" s="2"/>
      <c r="G115" s="2"/>
      <c r="H115" s="123"/>
      <c r="I115" s="2"/>
      <c r="J115" s="2"/>
      <c r="K115" s="2"/>
      <c r="L115" s="2"/>
      <c r="M115" s="2"/>
      <c r="N115" s="2"/>
      <c r="O115" s="2"/>
      <c r="P115" s="2"/>
      <c r="Q115" s="2"/>
      <c r="R115" s="2"/>
      <c r="S115" s="2"/>
      <c r="T115" s="2"/>
    </row>
    <row r="116">
      <c r="A116" s="2"/>
      <c r="B116" s="2"/>
      <c r="C116" s="2"/>
      <c r="D116" s="2"/>
      <c r="E116" s="2"/>
      <c r="F116" s="2"/>
      <c r="G116" s="2"/>
      <c r="H116" s="123"/>
      <c r="I116" s="2"/>
      <c r="J116" s="2"/>
      <c r="K116" s="2"/>
      <c r="L116" s="2"/>
      <c r="M116" s="2"/>
      <c r="N116" s="2"/>
      <c r="O116" s="2"/>
      <c r="P116" s="2"/>
      <c r="Q116" s="2"/>
      <c r="R116" s="2"/>
      <c r="S116" s="2"/>
      <c r="T116" s="2"/>
    </row>
    <row r="117">
      <c r="A117" s="2"/>
      <c r="B117" s="2"/>
      <c r="C117" s="2"/>
      <c r="D117" s="2"/>
      <c r="E117" s="2"/>
      <c r="F117" s="2"/>
      <c r="G117" s="2"/>
      <c r="H117" s="123"/>
      <c r="I117" s="2"/>
      <c r="J117" s="2"/>
      <c r="K117" s="2"/>
      <c r="L117" s="2"/>
      <c r="M117" s="2"/>
      <c r="N117" s="2"/>
      <c r="O117" s="2"/>
      <c r="P117" s="2"/>
      <c r="Q117" s="2"/>
      <c r="R117" s="2"/>
      <c r="S117" s="2"/>
      <c r="T117" s="2"/>
    </row>
    <row r="118">
      <c r="A118" s="2"/>
      <c r="B118" s="2"/>
      <c r="C118" s="2"/>
      <c r="D118" s="2"/>
      <c r="E118" s="2"/>
      <c r="F118" s="2"/>
      <c r="G118" s="2"/>
      <c r="H118" s="123"/>
      <c r="I118" s="2"/>
      <c r="J118" s="2"/>
      <c r="K118" s="2"/>
      <c r="L118" s="2"/>
      <c r="M118" s="2"/>
      <c r="N118" s="2"/>
      <c r="O118" s="2"/>
      <c r="P118" s="2"/>
      <c r="Q118" s="2"/>
      <c r="R118" s="2"/>
      <c r="S118" s="2"/>
      <c r="T118" s="2"/>
    </row>
    <row r="119">
      <c r="A119" s="2"/>
      <c r="B119" s="2"/>
      <c r="C119" s="2"/>
      <c r="D119" s="2"/>
      <c r="E119" s="2"/>
      <c r="F119" s="2"/>
      <c r="G119" s="2"/>
      <c r="H119" s="123"/>
      <c r="I119" s="2"/>
      <c r="J119" s="2"/>
      <c r="K119" s="2"/>
      <c r="L119" s="2"/>
      <c r="M119" s="2"/>
      <c r="N119" s="2"/>
      <c r="O119" s="2"/>
      <c r="P119" s="2"/>
      <c r="Q119" s="2"/>
      <c r="R119" s="2"/>
      <c r="S119" s="2"/>
      <c r="T119" s="2"/>
    </row>
    <row r="120">
      <c r="A120" s="2"/>
      <c r="B120" s="2"/>
      <c r="C120" s="2"/>
      <c r="D120" s="2"/>
      <c r="E120" s="2"/>
      <c r="F120" s="2"/>
      <c r="G120" s="2"/>
      <c r="H120" s="123"/>
      <c r="I120" s="2"/>
      <c r="J120" s="2"/>
      <c r="K120" s="2"/>
      <c r="L120" s="2"/>
      <c r="M120" s="2"/>
      <c r="N120" s="2"/>
      <c r="O120" s="2"/>
      <c r="P120" s="2"/>
      <c r="Q120" s="2"/>
      <c r="R120" s="2"/>
      <c r="S120" s="2"/>
      <c r="T120" s="2"/>
    </row>
    <row r="121">
      <c r="A121" s="2"/>
      <c r="B121" s="2"/>
      <c r="C121" s="2"/>
      <c r="D121" s="2"/>
      <c r="E121" s="2"/>
      <c r="F121" s="2"/>
      <c r="G121" s="2"/>
      <c r="H121" s="123"/>
      <c r="I121" s="2"/>
      <c r="J121" s="2"/>
      <c r="K121" s="2"/>
      <c r="L121" s="2"/>
      <c r="M121" s="2"/>
      <c r="N121" s="2"/>
      <c r="O121" s="2"/>
      <c r="P121" s="2"/>
      <c r="Q121" s="2"/>
      <c r="R121" s="2"/>
      <c r="S121" s="2"/>
      <c r="T121" s="2"/>
    </row>
    <row r="122">
      <c r="A122" s="2"/>
      <c r="B122" s="2"/>
      <c r="C122" s="2"/>
      <c r="D122" s="2"/>
      <c r="E122" s="2"/>
      <c r="F122" s="2"/>
      <c r="G122" s="2"/>
      <c r="H122" s="123"/>
      <c r="I122" s="2"/>
      <c r="J122" s="2"/>
      <c r="K122" s="2"/>
      <c r="L122" s="2"/>
      <c r="M122" s="2"/>
      <c r="N122" s="2"/>
      <c r="O122" s="2"/>
      <c r="P122" s="2"/>
      <c r="Q122" s="2"/>
      <c r="R122" s="2"/>
      <c r="S122" s="2"/>
      <c r="T122" s="2"/>
    </row>
    <row r="123">
      <c r="A123" s="2"/>
      <c r="B123" s="2"/>
      <c r="C123" s="2"/>
      <c r="D123" s="2"/>
      <c r="E123" s="2"/>
      <c r="F123" s="2"/>
      <c r="G123" s="2"/>
      <c r="H123" s="123"/>
      <c r="I123" s="2"/>
      <c r="J123" s="2"/>
      <c r="K123" s="2"/>
      <c r="L123" s="2"/>
      <c r="M123" s="2"/>
      <c r="N123" s="2"/>
      <c r="O123" s="2"/>
      <c r="P123" s="2"/>
      <c r="Q123" s="2"/>
      <c r="R123" s="2"/>
      <c r="S123" s="2"/>
      <c r="T123" s="2"/>
    </row>
    <row r="124">
      <c r="A124" s="2"/>
      <c r="B124" s="2"/>
      <c r="C124" s="2"/>
      <c r="D124" s="2"/>
      <c r="E124" s="2"/>
      <c r="F124" s="2"/>
      <c r="G124" s="2"/>
      <c r="H124" s="123"/>
      <c r="I124" s="2"/>
      <c r="J124" s="2"/>
      <c r="K124" s="2"/>
      <c r="L124" s="2"/>
      <c r="M124" s="2"/>
      <c r="N124" s="2"/>
      <c r="O124" s="2"/>
      <c r="P124" s="2"/>
      <c r="Q124" s="2"/>
      <c r="R124" s="2"/>
      <c r="S124" s="2"/>
      <c r="T124" s="2"/>
    </row>
    <row r="125">
      <c r="A125" s="2"/>
      <c r="B125" s="2"/>
      <c r="C125" s="2"/>
      <c r="D125" s="2"/>
      <c r="E125" s="2"/>
      <c r="F125" s="2"/>
      <c r="G125" s="2"/>
      <c r="H125" s="123"/>
      <c r="I125" s="2"/>
      <c r="J125" s="2"/>
      <c r="K125" s="2"/>
      <c r="L125" s="2"/>
      <c r="M125" s="2"/>
      <c r="N125" s="2"/>
      <c r="O125" s="2"/>
      <c r="P125" s="2"/>
      <c r="Q125" s="2"/>
      <c r="R125" s="2"/>
      <c r="S125" s="2"/>
      <c r="T125" s="2"/>
    </row>
    <row r="126">
      <c r="A126" s="2"/>
      <c r="B126" s="2"/>
      <c r="C126" s="2"/>
      <c r="D126" s="2"/>
      <c r="E126" s="2"/>
      <c r="F126" s="2"/>
      <c r="G126" s="2"/>
      <c r="H126" s="123"/>
      <c r="I126" s="2"/>
      <c r="J126" s="2"/>
      <c r="K126" s="2"/>
      <c r="L126" s="2"/>
      <c r="M126" s="2"/>
      <c r="N126" s="2"/>
      <c r="O126" s="2"/>
      <c r="P126" s="2"/>
      <c r="Q126" s="2"/>
      <c r="R126" s="2"/>
      <c r="S126" s="2"/>
      <c r="T126" s="2"/>
    </row>
    <row r="127">
      <c r="A127" s="2"/>
      <c r="B127" s="2"/>
      <c r="C127" s="2"/>
      <c r="D127" s="2"/>
      <c r="E127" s="2"/>
      <c r="F127" s="2"/>
      <c r="G127" s="2"/>
      <c r="H127" s="123"/>
      <c r="I127" s="2"/>
      <c r="J127" s="2"/>
      <c r="K127" s="2"/>
      <c r="L127" s="2"/>
      <c r="M127" s="2"/>
      <c r="N127" s="2"/>
      <c r="O127" s="2"/>
      <c r="P127" s="2"/>
      <c r="Q127" s="2"/>
      <c r="R127" s="2"/>
      <c r="S127" s="2"/>
      <c r="T127" s="2"/>
    </row>
    <row r="128">
      <c r="A128" s="2"/>
      <c r="B128" s="2"/>
      <c r="C128" s="2"/>
      <c r="D128" s="2"/>
      <c r="E128" s="2"/>
      <c r="F128" s="2"/>
      <c r="G128" s="2"/>
      <c r="H128" s="123"/>
      <c r="I128" s="2"/>
      <c r="J128" s="2"/>
      <c r="K128" s="2"/>
      <c r="L128" s="2"/>
      <c r="M128" s="2"/>
      <c r="N128" s="2"/>
      <c r="O128" s="2"/>
      <c r="P128" s="2"/>
      <c r="Q128" s="2"/>
      <c r="R128" s="2"/>
      <c r="S128" s="2"/>
      <c r="T128" s="2"/>
    </row>
    <row r="129">
      <c r="A129" s="2"/>
      <c r="B129" s="2"/>
      <c r="C129" s="2"/>
      <c r="D129" s="2"/>
      <c r="E129" s="2"/>
      <c r="F129" s="2"/>
      <c r="G129" s="2"/>
      <c r="H129" s="123"/>
      <c r="I129" s="2"/>
      <c r="J129" s="2"/>
      <c r="K129" s="2"/>
      <c r="L129" s="2"/>
      <c r="M129" s="2"/>
      <c r="N129" s="2"/>
      <c r="O129" s="2"/>
      <c r="P129" s="2"/>
      <c r="Q129" s="2"/>
      <c r="R129" s="2"/>
      <c r="S129" s="2"/>
      <c r="T129" s="2"/>
    </row>
    <row r="130">
      <c r="A130" s="2"/>
      <c r="B130" s="2"/>
      <c r="C130" s="2"/>
      <c r="D130" s="2"/>
      <c r="E130" s="2"/>
      <c r="F130" s="2"/>
      <c r="G130" s="2"/>
      <c r="H130" s="123"/>
      <c r="I130" s="2"/>
      <c r="J130" s="2"/>
      <c r="K130" s="2"/>
      <c r="L130" s="2"/>
      <c r="M130" s="2"/>
      <c r="N130" s="2"/>
      <c r="O130" s="2"/>
      <c r="P130" s="2"/>
      <c r="Q130" s="2"/>
      <c r="R130" s="2"/>
      <c r="S130" s="2"/>
      <c r="T130" s="2"/>
    </row>
    <row r="131">
      <c r="A131" s="2"/>
      <c r="B131" s="2"/>
      <c r="C131" s="2"/>
      <c r="D131" s="2"/>
      <c r="E131" s="2"/>
      <c r="F131" s="2"/>
      <c r="G131" s="2"/>
      <c r="H131" s="123"/>
      <c r="I131" s="2"/>
      <c r="J131" s="2"/>
      <c r="K131" s="2"/>
      <c r="L131" s="2"/>
      <c r="M131" s="2"/>
      <c r="N131" s="2"/>
      <c r="O131" s="2"/>
      <c r="P131" s="2"/>
      <c r="Q131" s="2"/>
      <c r="R131" s="2"/>
      <c r="S131" s="2"/>
      <c r="T131" s="2"/>
    </row>
    <row r="132">
      <c r="A132" s="2"/>
      <c r="B132" s="2"/>
      <c r="C132" s="2"/>
      <c r="D132" s="2"/>
      <c r="E132" s="2"/>
      <c r="F132" s="2"/>
      <c r="G132" s="2"/>
      <c r="H132" s="123"/>
      <c r="I132" s="2"/>
      <c r="J132" s="2"/>
      <c r="K132" s="2"/>
      <c r="L132" s="2"/>
      <c r="M132" s="2"/>
      <c r="N132" s="2"/>
      <c r="O132" s="2"/>
      <c r="P132" s="2"/>
      <c r="Q132" s="2"/>
      <c r="R132" s="2"/>
      <c r="S132" s="2"/>
      <c r="T132" s="2"/>
    </row>
    <row r="133">
      <c r="A133" s="2"/>
      <c r="B133" s="2"/>
      <c r="C133" s="2"/>
      <c r="D133" s="2"/>
      <c r="E133" s="2"/>
      <c r="F133" s="2"/>
      <c r="G133" s="2"/>
      <c r="H133" s="123"/>
      <c r="I133" s="2"/>
      <c r="J133" s="2"/>
      <c r="K133" s="2"/>
      <c r="L133" s="2"/>
      <c r="M133" s="2"/>
      <c r="N133" s="2"/>
      <c r="O133" s="2"/>
      <c r="P133" s="2"/>
      <c r="Q133" s="2"/>
      <c r="R133" s="2"/>
      <c r="S133" s="2"/>
      <c r="T133" s="2"/>
    </row>
    <row r="134">
      <c r="A134" s="2"/>
      <c r="B134" s="2"/>
      <c r="C134" s="2"/>
      <c r="D134" s="2"/>
      <c r="E134" s="2"/>
      <c r="F134" s="2"/>
      <c r="G134" s="2"/>
      <c r="H134" s="123"/>
      <c r="I134" s="2"/>
      <c r="J134" s="2"/>
      <c r="K134" s="2"/>
      <c r="L134" s="2"/>
      <c r="M134" s="2"/>
      <c r="N134" s="2"/>
      <c r="O134" s="2"/>
      <c r="P134" s="2"/>
      <c r="Q134" s="2"/>
      <c r="R134" s="2"/>
      <c r="S134" s="2"/>
      <c r="T134" s="2"/>
    </row>
    <row r="135">
      <c r="A135" s="2"/>
      <c r="B135" s="2"/>
      <c r="C135" s="2"/>
      <c r="D135" s="2"/>
      <c r="E135" s="2"/>
      <c r="F135" s="2"/>
      <c r="G135" s="2"/>
      <c r="H135" s="123"/>
      <c r="I135" s="2"/>
      <c r="J135" s="2"/>
      <c r="K135" s="2"/>
      <c r="L135" s="2"/>
      <c r="M135" s="2"/>
      <c r="N135" s="2"/>
      <c r="O135" s="2"/>
      <c r="P135" s="2"/>
      <c r="Q135" s="2"/>
      <c r="R135" s="2"/>
      <c r="S135" s="2"/>
      <c r="T135" s="2"/>
    </row>
    <row r="136">
      <c r="A136" s="2"/>
      <c r="B136" s="2"/>
      <c r="C136" s="2"/>
      <c r="D136" s="2"/>
      <c r="E136" s="2"/>
      <c r="F136" s="2"/>
      <c r="G136" s="2"/>
      <c r="H136" s="123"/>
      <c r="I136" s="2"/>
      <c r="J136" s="2"/>
      <c r="K136" s="2"/>
      <c r="L136" s="2"/>
      <c r="M136" s="2"/>
      <c r="N136" s="2"/>
      <c r="O136" s="2"/>
      <c r="P136" s="2"/>
      <c r="Q136" s="2"/>
      <c r="R136" s="2"/>
      <c r="S136" s="2"/>
      <c r="T136" s="2"/>
    </row>
    <row r="137">
      <c r="A137" s="2"/>
      <c r="B137" s="2"/>
      <c r="C137" s="2"/>
      <c r="D137" s="2"/>
      <c r="E137" s="2"/>
      <c r="F137" s="2"/>
      <c r="G137" s="2"/>
      <c r="H137" s="123"/>
      <c r="I137" s="2"/>
      <c r="J137" s="2"/>
      <c r="K137" s="2"/>
      <c r="L137" s="2"/>
      <c r="M137" s="2"/>
      <c r="N137" s="2"/>
      <c r="O137" s="2"/>
      <c r="P137" s="2"/>
      <c r="Q137" s="2"/>
      <c r="R137" s="2"/>
      <c r="S137" s="2"/>
      <c r="T137" s="2"/>
    </row>
    <row r="138">
      <c r="A138" s="2"/>
      <c r="B138" s="2"/>
      <c r="C138" s="2"/>
      <c r="D138" s="2"/>
      <c r="E138" s="2"/>
      <c r="F138" s="2"/>
      <c r="G138" s="2"/>
      <c r="H138" s="123"/>
      <c r="I138" s="2"/>
      <c r="J138" s="2"/>
      <c r="K138" s="2"/>
      <c r="L138" s="2"/>
      <c r="M138" s="2"/>
      <c r="N138" s="2"/>
      <c r="O138" s="2"/>
      <c r="P138" s="2"/>
      <c r="Q138" s="2"/>
      <c r="R138" s="2"/>
      <c r="S138" s="2"/>
      <c r="T138" s="2"/>
    </row>
    <row r="139">
      <c r="A139" s="2"/>
      <c r="B139" s="2"/>
      <c r="C139" s="2"/>
      <c r="D139" s="2"/>
      <c r="E139" s="2"/>
      <c r="F139" s="2"/>
      <c r="G139" s="2"/>
      <c r="H139" s="123"/>
      <c r="I139" s="2"/>
      <c r="J139" s="2"/>
      <c r="K139" s="2"/>
      <c r="L139" s="2"/>
      <c r="M139" s="2"/>
      <c r="N139" s="2"/>
      <c r="O139" s="2"/>
      <c r="P139" s="2"/>
      <c r="Q139" s="2"/>
      <c r="R139" s="2"/>
      <c r="S139" s="2"/>
      <c r="T139" s="2"/>
    </row>
    <row r="140">
      <c r="A140" s="2"/>
      <c r="B140" s="2"/>
      <c r="C140" s="2"/>
      <c r="D140" s="2"/>
      <c r="E140" s="2"/>
      <c r="F140" s="2"/>
      <c r="G140" s="2"/>
      <c r="H140" s="123"/>
      <c r="I140" s="2"/>
      <c r="J140" s="2"/>
      <c r="K140" s="2"/>
      <c r="L140" s="2"/>
      <c r="M140" s="2"/>
      <c r="N140" s="2"/>
      <c r="O140" s="2"/>
      <c r="P140" s="2"/>
      <c r="Q140" s="2"/>
      <c r="R140" s="2"/>
      <c r="S140" s="2"/>
      <c r="T140" s="2"/>
    </row>
    <row r="141">
      <c r="A141" s="2"/>
      <c r="B141" s="2"/>
      <c r="C141" s="2"/>
      <c r="D141" s="2"/>
      <c r="E141" s="2"/>
      <c r="F141" s="2"/>
      <c r="G141" s="2"/>
      <c r="H141" s="123"/>
      <c r="I141" s="2"/>
      <c r="J141" s="2"/>
      <c r="K141" s="2"/>
      <c r="L141" s="2"/>
      <c r="M141" s="2"/>
      <c r="N141" s="2"/>
      <c r="O141" s="2"/>
      <c r="P141" s="2"/>
      <c r="Q141" s="2"/>
      <c r="R141" s="2"/>
      <c r="S141" s="2"/>
      <c r="T141" s="2"/>
    </row>
    <row r="142">
      <c r="A142" s="2"/>
      <c r="B142" s="2"/>
      <c r="C142" s="2"/>
      <c r="D142" s="2"/>
      <c r="E142" s="2"/>
      <c r="F142" s="2"/>
      <c r="G142" s="2"/>
      <c r="H142" s="123"/>
      <c r="I142" s="2"/>
      <c r="J142" s="2"/>
      <c r="K142" s="2"/>
      <c r="L142" s="2"/>
      <c r="M142" s="2"/>
      <c r="N142" s="2"/>
      <c r="O142" s="2"/>
      <c r="P142" s="2"/>
      <c r="Q142" s="2"/>
      <c r="R142" s="2"/>
      <c r="S142" s="2"/>
      <c r="T142" s="2"/>
    </row>
    <row r="143">
      <c r="A143" s="2"/>
      <c r="B143" s="2"/>
      <c r="C143" s="2"/>
      <c r="D143" s="2"/>
      <c r="E143" s="2"/>
      <c r="F143" s="2"/>
      <c r="G143" s="2"/>
      <c r="H143" s="123"/>
      <c r="I143" s="2"/>
      <c r="J143" s="2"/>
      <c r="K143" s="2"/>
      <c r="L143" s="2"/>
      <c r="M143" s="2"/>
      <c r="N143" s="2"/>
      <c r="O143" s="2"/>
      <c r="P143" s="2"/>
      <c r="Q143" s="2"/>
      <c r="R143" s="2"/>
      <c r="S143" s="2"/>
      <c r="T143" s="2"/>
    </row>
    <row r="144">
      <c r="A144" s="2"/>
      <c r="B144" s="2"/>
      <c r="C144" s="2"/>
      <c r="D144" s="2"/>
      <c r="E144" s="2"/>
      <c r="F144" s="2"/>
      <c r="G144" s="2"/>
      <c r="H144" s="123"/>
      <c r="I144" s="2"/>
      <c r="J144" s="2"/>
      <c r="K144" s="2"/>
      <c r="L144" s="2"/>
      <c r="M144" s="2"/>
      <c r="N144" s="2"/>
      <c r="O144" s="2"/>
      <c r="P144" s="2"/>
      <c r="Q144" s="2"/>
      <c r="R144" s="2"/>
      <c r="S144" s="2"/>
      <c r="T144" s="2"/>
    </row>
    <row r="145">
      <c r="A145" s="2"/>
      <c r="B145" s="2"/>
      <c r="C145" s="2"/>
      <c r="D145" s="2"/>
      <c r="E145" s="2"/>
      <c r="F145" s="2"/>
      <c r="G145" s="2"/>
      <c r="H145" s="123"/>
      <c r="I145" s="2"/>
      <c r="J145" s="2"/>
      <c r="K145" s="2"/>
      <c r="L145" s="2"/>
      <c r="M145" s="2"/>
      <c r="N145" s="2"/>
      <c r="O145" s="2"/>
      <c r="P145" s="2"/>
      <c r="Q145" s="2"/>
      <c r="R145" s="2"/>
      <c r="S145" s="2"/>
      <c r="T145" s="2"/>
    </row>
    <row r="146">
      <c r="A146" s="2"/>
      <c r="B146" s="2"/>
      <c r="C146" s="2"/>
      <c r="D146" s="2"/>
      <c r="E146" s="2"/>
      <c r="F146" s="2"/>
      <c r="G146" s="2"/>
      <c r="H146" s="123"/>
      <c r="I146" s="2"/>
      <c r="J146" s="2"/>
      <c r="K146" s="2"/>
      <c r="L146" s="2"/>
      <c r="M146" s="2"/>
      <c r="N146" s="2"/>
      <c r="O146" s="2"/>
      <c r="P146" s="2"/>
      <c r="Q146" s="2"/>
      <c r="R146" s="2"/>
      <c r="S146" s="2"/>
      <c r="T146" s="2"/>
    </row>
    <row r="147">
      <c r="A147" s="2"/>
      <c r="B147" s="2"/>
      <c r="C147" s="2"/>
      <c r="D147" s="2"/>
      <c r="E147" s="2"/>
      <c r="F147" s="2"/>
      <c r="G147" s="2"/>
      <c r="H147" s="123"/>
      <c r="I147" s="2"/>
      <c r="J147" s="2"/>
      <c r="K147" s="2"/>
      <c r="L147" s="2"/>
      <c r="M147" s="2"/>
      <c r="N147" s="2"/>
      <c r="O147" s="2"/>
      <c r="P147" s="2"/>
      <c r="Q147" s="2"/>
      <c r="R147" s="2"/>
      <c r="S147" s="2"/>
      <c r="T147" s="2"/>
    </row>
    <row r="148">
      <c r="A148" s="2"/>
      <c r="B148" s="2"/>
      <c r="C148" s="2"/>
      <c r="D148" s="2"/>
      <c r="E148" s="2"/>
      <c r="F148" s="2"/>
      <c r="G148" s="2"/>
      <c r="H148" s="123"/>
      <c r="I148" s="2"/>
      <c r="J148" s="2"/>
      <c r="K148" s="2"/>
      <c r="L148" s="2"/>
      <c r="M148" s="2"/>
      <c r="N148" s="2"/>
      <c r="O148" s="2"/>
      <c r="P148" s="2"/>
      <c r="Q148" s="2"/>
      <c r="R148" s="2"/>
      <c r="S148" s="2"/>
      <c r="T148" s="2"/>
    </row>
    <row r="149">
      <c r="A149" s="2"/>
      <c r="B149" s="2"/>
      <c r="C149" s="2"/>
      <c r="D149" s="2"/>
      <c r="E149" s="2"/>
      <c r="F149" s="2"/>
      <c r="G149" s="2"/>
      <c r="H149" s="123"/>
      <c r="I149" s="2"/>
      <c r="J149" s="2"/>
      <c r="K149" s="2"/>
      <c r="L149" s="2"/>
      <c r="M149" s="2"/>
      <c r="N149" s="2"/>
      <c r="O149" s="2"/>
      <c r="P149" s="2"/>
      <c r="Q149" s="2"/>
      <c r="R149" s="2"/>
      <c r="S149" s="2"/>
      <c r="T149" s="2"/>
    </row>
    <row r="150">
      <c r="A150" s="2"/>
      <c r="B150" s="2"/>
      <c r="C150" s="2"/>
      <c r="D150" s="2"/>
      <c r="E150" s="2"/>
      <c r="F150" s="2"/>
      <c r="G150" s="2"/>
      <c r="H150" s="123"/>
      <c r="I150" s="2"/>
      <c r="J150" s="2"/>
      <c r="K150" s="2"/>
      <c r="L150" s="2"/>
      <c r="M150" s="2"/>
      <c r="N150" s="2"/>
      <c r="O150" s="2"/>
      <c r="P150" s="2"/>
      <c r="Q150" s="2"/>
      <c r="R150" s="2"/>
      <c r="S150" s="2"/>
      <c r="T150" s="2"/>
    </row>
    <row r="151">
      <c r="A151" s="2"/>
      <c r="B151" s="2"/>
      <c r="C151" s="2"/>
      <c r="D151" s="2"/>
      <c r="E151" s="2"/>
      <c r="F151" s="2"/>
      <c r="G151" s="2"/>
      <c r="H151" s="123"/>
      <c r="I151" s="2"/>
      <c r="J151" s="2"/>
      <c r="K151" s="2"/>
      <c r="L151" s="2"/>
      <c r="M151" s="2"/>
      <c r="N151" s="2"/>
      <c r="O151" s="2"/>
      <c r="P151" s="2"/>
      <c r="Q151" s="2"/>
      <c r="R151" s="2"/>
      <c r="S151" s="2"/>
      <c r="T151" s="2"/>
    </row>
    <row r="152">
      <c r="A152" s="2"/>
      <c r="B152" s="2"/>
      <c r="C152" s="2"/>
      <c r="D152" s="2"/>
      <c r="E152" s="2"/>
      <c r="F152" s="2"/>
      <c r="G152" s="2"/>
      <c r="H152" s="123"/>
      <c r="I152" s="2"/>
      <c r="J152" s="2"/>
      <c r="K152" s="2"/>
      <c r="L152" s="2"/>
      <c r="M152" s="2"/>
      <c r="N152" s="2"/>
      <c r="O152" s="2"/>
      <c r="P152" s="2"/>
      <c r="Q152" s="2"/>
      <c r="R152" s="2"/>
      <c r="S152" s="2"/>
      <c r="T152" s="2"/>
    </row>
    <row r="153">
      <c r="A153" s="2"/>
      <c r="B153" s="2"/>
      <c r="C153" s="2"/>
      <c r="D153" s="2"/>
      <c r="E153" s="2"/>
      <c r="F153" s="2"/>
      <c r="G153" s="2"/>
      <c r="H153" s="123"/>
      <c r="I153" s="2"/>
      <c r="J153" s="2"/>
      <c r="K153" s="2"/>
      <c r="L153" s="2"/>
      <c r="M153" s="2"/>
      <c r="N153" s="2"/>
      <c r="O153" s="2"/>
      <c r="P153" s="2"/>
      <c r="Q153" s="2"/>
      <c r="R153" s="2"/>
      <c r="S153" s="2"/>
      <c r="T153" s="2"/>
    </row>
    <row r="154">
      <c r="A154" s="2"/>
      <c r="B154" s="2"/>
      <c r="C154" s="2"/>
      <c r="D154" s="2"/>
      <c r="E154" s="2"/>
      <c r="F154" s="2"/>
      <c r="G154" s="2"/>
      <c r="H154" s="123"/>
      <c r="I154" s="2"/>
      <c r="J154" s="2"/>
      <c r="K154" s="2"/>
      <c r="L154" s="2"/>
      <c r="M154" s="2"/>
      <c r="N154" s="2"/>
      <c r="O154" s="2"/>
      <c r="P154" s="2"/>
      <c r="Q154" s="2"/>
      <c r="R154" s="2"/>
      <c r="S154" s="2"/>
      <c r="T154" s="2"/>
    </row>
    <row r="155">
      <c r="A155" s="2"/>
      <c r="B155" s="2"/>
      <c r="C155" s="2"/>
      <c r="D155" s="2"/>
      <c r="E155" s="2"/>
      <c r="F155" s="2"/>
      <c r="G155" s="2"/>
      <c r="H155" s="123"/>
      <c r="I155" s="2"/>
      <c r="J155" s="2"/>
      <c r="K155" s="2"/>
      <c r="L155" s="2"/>
      <c r="M155" s="2"/>
      <c r="N155" s="2"/>
      <c r="O155" s="2"/>
      <c r="P155" s="2"/>
      <c r="Q155" s="2"/>
      <c r="R155" s="2"/>
      <c r="S155" s="2"/>
      <c r="T155" s="2"/>
    </row>
    <row r="156">
      <c r="A156" s="2"/>
      <c r="B156" s="2"/>
      <c r="C156" s="2"/>
      <c r="D156" s="2"/>
      <c r="E156" s="2"/>
      <c r="F156" s="2"/>
      <c r="G156" s="2"/>
      <c r="H156" s="123"/>
      <c r="I156" s="2"/>
      <c r="J156" s="2"/>
      <c r="K156" s="2"/>
      <c r="L156" s="2"/>
      <c r="M156" s="2"/>
      <c r="N156" s="2"/>
      <c r="O156" s="2"/>
      <c r="P156" s="2"/>
      <c r="Q156" s="2"/>
      <c r="R156" s="2"/>
      <c r="S156" s="2"/>
      <c r="T156" s="2"/>
    </row>
    <row r="157">
      <c r="A157" s="2"/>
      <c r="B157" s="2"/>
      <c r="C157" s="2"/>
      <c r="D157" s="2"/>
      <c r="E157" s="2"/>
      <c r="F157" s="2"/>
      <c r="G157" s="2"/>
      <c r="H157" s="123"/>
      <c r="I157" s="2"/>
      <c r="J157" s="2"/>
      <c r="K157" s="2"/>
      <c r="L157" s="2"/>
      <c r="M157" s="2"/>
      <c r="N157" s="2"/>
      <c r="O157" s="2"/>
      <c r="P157" s="2"/>
      <c r="Q157" s="2"/>
      <c r="R157" s="2"/>
      <c r="S157" s="2"/>
      <c r="T157" s="2"/>
    </row>
    <row r="158">
      <c r="A158" s="2"/>
      <c r="B158" s="2"/>
      <c r="C158" s="2"/>
      <c r="D158" s="2"/>
      <c r="E158" s="2"/>
      <c r="F158" s="2"/>
      <c r="G158" s="2"/>
      <c r="H158" s="123"/>
      <c r="I158" s="2"/>
      <c r="J158" s="2"/>
      <c r="K158" s="2"/>
      <c r="L158" s="2"/>
      <c r="M158" s="2"/>
      <c r="N158" s="2"/>
      <c r="O158" s="2"/>
      <c r="P158" s="2"/>
      <c r="Q158" s="2"/>
      <c r="R158" s="2"/>
      <c r="S158" s="2"/>
      <c r="T158" s="2"/>
    </row>
    <row r="159">
      <c r="A159" s="2"/>
      <c r="B159" s="2"/>
      <c r="C159" s="2"/>
      <c r="D159" s="2"/>
      <c r="E159" s="2"/>
      <c r="F159" s="2"/>
      <c r="G159" s="2"/>
      <c r="H159" s="123"/>
      <c r="I159" s="2"/>
      <c r="J159" s="2"/>
      <c r="K159" s="2"/>
      <c r="L159" s="2"/>
      <c r="M159" s="2"/>
      <c r="N159" s="2"/>
      <c r="O159" s="2"/>
      <c r="P159" s="2"/>
      <c r="Q159" s="2"/>
      <c r="R159" s="2"/>
      <c r="S159" s="2"/>
      <c r="T159" s="2"/>
    </row>
    <row r="160">
      <c r="A160" s="2"/>
      <c r="B160" s="2"/>
      <c r="C160" s="2"/>
      <c r="D160" s="2"/>
      <c r="E160" s="2"/>
      <c r="F160" s="2"/>
      <c r="G160" s="2"/>
      <c r="H160" s="123"/>
      <c r="I160" s="2"/>
      <c r="J160" s="2"/>
      <c r="K160" s="2"/>
      <c r="L160" s="2"/>
      <c r="M160" s="2"/>
      <c r="N160" s="2"/>
      <c r="O160" s="2"/>
      <c r="P160" s="2"/>
      <c r="Q160" s="2"/>
      <c r="R160" s="2"/>
      <c r="S160" s="2"/>
      <c r="T160" s="2"/>
    </row>
    <row r="161">
      <c r="A161" s="2"/>
      <c r="B161" s="2"/>
      <c r="C161" s="2"/>
      <c r="D161" s="2"/>
      <c r="E161" s="2"/>
      <c r="F161" s="2"/>
      <c r="G161" s="2"/>
      <c r="H161" s="123"/>
      <c r="I161" s="2"/>
      <c r="J161" s="2"/>
      <c r="K161" s="2"/>
      <c r="L161" s="2"/>
      <c r="M161" s="2"/>
      <c r="N161" s="2"/>
      <c r="O161" s="2"/>
      <c r="P161" s="2"/>
      <c r="Q161" s="2"/>
      <c r="R161" s="2"/>
      <c r="S161" s="2"/>
      <c r="T161" s="2"/>
    </row>
    <row r="162">
      <c r="A162" s="2"/>
      <c r="B162" s="2"/>
      <c r="C162" s="2"/>
      <c r="D162" s="2"/>
      <c r="E162" s="2"/>
      <c r="F162" s="2"/>
      <c r="G162" s="2"/>
      <c r="H162" s="123"/>
      <c r="I162" s="2"/>
      <c r="J162" s="2"/>
      <c r="K162" s="2"/>
      <c r="L162" s="2"/>
      <c r="M162" s="2"/>
      <c r="N162" s="2"/>
      <c r="O162" s="2"/>
      <c r="P162" s="2"/>
      <c r="Q162" s="2"/>
      <c r="R162" s="2"/>
      <c r="S162" s="2"/>
      <c r="T162" s="2"/>
    </row>
    <row r="163">
      <c r="A163" s="2"/>
      <c r="B163" s="2"/>
      <c r="C163" s="2"/>
      <c r="D163" s="2"/>
      <c r="E163" s="2"/>
      <c r="F163" s="2"/>
      <c r="G163" s="2"/>
      <c r="H163" s="123"/>
      <c r="I163" s="2"/>
      <c r="J163" s="2"/>
      <c r="K163" s="2"/>
      <c r="L163" s="2"/>
      <c r="M163" s="2"/>
      <c r="N163" s="2"/>
      <c r="O163" s="2"/>
      <c r="P163" s="2"/>
      <c r="Q163" s="2"/>
      <c r="R163" s="2"/>
      <c r="S163" s="2"/>
      <c r="T163" s="2"/>
    </row>
    <row r="164">
      <c r="A164" s="2"/>
      <c r="B164" s="2"/>
      <c r="C164" s="2"/>
      <c r="D164" s="2"/>
      <c r="E164" s="2"/>
      <c r="F164" s="2"/>
      <c r="G164" s="2"/>
      <c r="H164" s="123"/>
      <c r="I164" s="2"/>
      <c r="J164" s="2"/>
      <c r="K164" s="2"/>
      <c r="L164" s="2"/>
      <c r="M164" s="2"/>
      <c r="N164" s="2"/>
      <c r="O164" s="2"/>
      <c r="P164" s="2"/>
      <c r="Q164" s="2"/>
      <c r="R164" s="2"/>
      <c r="S164" s="2"/>
      <c r="T164" s="2"/>
    </row>
    <row r="165">
      <c r="A165" s="2"/>
      <c r="B165" s="2"/>
      <c r="C165" s="2"/>
      <c r="D165" s="2"/>
      <c r="E165" s="2"/>
      <c r="F165" s="2"/>
      <c r="G165" s="2"/>
      <c r="H165" s="123"/>
      <c r="I165" s="2"/>
      <c r="J165" s="2"/>
      <c r="K165" s="2"/>
      <c r="L165" s="2"/>
      <c r="M165" s="2"/>
      <c r="N165" s="2"/>
      <c r="O165" s="2"/>
      <c r="P165" s="2"/>
      <c r="Q165" s="2"/>
      <c r="R165" s="2"/>
      <c r="S165" s="2"/>
      <c r="T165" s="2"/>
    </row>
    <row r="166">
      <c r="A166" s="2"/>
      <c r="B166" s="2"/>
      <c r="C166" s="2"/>
      <c r="D166" s="2"/>
      <c r="E166" s="2"/>
      <c r="F166" s="2"/>
      <c r="G166" s="2"/>
      <c r="H166" s="123"/>
      <c r="I166" s="2"/>
      <c r="J166" s="2"/>
      <c r="K166" s="2"/>
      <c r="L166" s="2"/>
      <c r="M166" s="2"/>
      <c r="N166" s="2"/>
      <c r="O166" s="2"/>
      <c r="P166" s="2"/>
      <c r="Q166" s="2"/>
      <c r="R166" s="2"/>
      <c r="S166" s="2"/>
      <c r="T166" s="2"/>
    </row>
    <row r="167">
      <c r="A167" s="2"/>
      <c r="B167" s="2"/>
      <c r="C167" s="2"/>
      <c r="D167" s="2"/>
      <c r="E167" s="2"/>
      <c r="F167" s="2"/>
      <c r="G167" s="2"/>
      <c r="H167" s="123"/>
      <c r="I167" s="2"/>
      <c r="J167" s="2"/>
      <c r="K167" s="2"/>
      <c r="L167" s="2"/>
      <c r="M167" s="2"/>
      <c r="N167" s="2"/>
      <c r="O167" s="2"/>
      <c r="P167" s="2"/>
      <c r="Q167" s="2"/>
      <c r="R167" s="2"/>
      <c r="S167" s="2"/>
      <c r="T167" s="2"/>
    </row>
    <row r="168">
      <c r="A168" s="2"/>
      <c r="B168" s="2"/>
      <c r="C168" s="2"/>
      <c r="D168" s="2"/>
      <c r="E168" s="2"/>
      <c r="F168" s="2"/>
      <c r="G168" s="2"/>
      <c r="H168" s="123"/>
      <c r="I168" s="2"/>
      <c r="J168" s="2"/>
      <c r="K168" s="2"/>
      <c r="L168" s="2"/>
      <c r="M168" s="2"/>
      <c r="N168" s="2"/>
      <c r="O168" s="2"/>
      <c r="P168" s="2"/>
      <c r="Q168" s="2"/>
      <c r="R168" s="2"/>
      <c r="S168" s="2"/>
      <c r="T168" s="2"/>
    </row>
    <row r="169">
      <c r="A169" s="2"/>
      <c r="B169" s="2"/>
      <c r="C169" s="2"/>
      <c r="D169" s="2"/>
      <c r="E169" s="2"/>
      <c r="F169" s="2"/>
      <c r="G169" s="2"/>
      <c r="H169" s="123"/>
      <c r="I169" s="2"/>
      <c r="J169" s="2"/>
      <c r="K169" s="2"/>
      <c r="L169" s="2"/>
      <c r="M169" s="2"/>
      <c r="N169" s="2"/>
      <c r="O169" s="2"/>
      <c r="P169" s="2"/>
      <c r="Q169" s="2"/>
      <c r="R169" s="2"/>
      <c r="S169" s="2"/>
      <c r="T169" s="2"/>
    </row>
    <row r="170">
      <c r="A170" s="2"/>
      <c r="B170" s="2"/>
      <c r="C170" s="2"/>
      <c r="D170" s="2"/>
      <c r="E170" s="2"/>
      <c r="F170" s="2"/>
      <c r="G170" s="2"/>
      <c r="H170" s="123"/>
      <c r="I170" s="2"/>
      <c r="J170" s="2"/>
      <c r="K170" s="2"/>
      <c r="L170" s="2"/>
      <c r="M170" s="2"/>
      <c r="N170" s="2"/>
      <c r="O170" s="2"/>
      <c r="P170" s="2"/>
      <c r="Q170" s="2"/>
      <c r="R170" s="2"/>
      <c r="S170" s="2"/>
      <c r="T170" s="2"/>
    </row>
    <row r="171">
      <c r="A171" s="2"/>
      <c r="B171" s="2"/>
      <c r="C171" s="2"/>
      <c r="D171" s="2"/>
      <c r="E171" s="2"/>
      <c r="F171" s="2"/>
      <c r="G171" s="2"/>
      <c r="H171" s="123"/>
      <c r="I171" s="2"/>
      <c r="J171" s="2"/>
      <c r="K171" s="2"/>
      <c r="L171" s="2"/>
      <c r="M171" s="2"/>
      <c r="N171" s="2"/>
      <c r="O171" s="2"/>
      <c r="P171" s="2"/>
      <c r="Q171" s="2"/>
      <c r="R171" s="2"/>
      <c r="S171" s="2"/>
      <c r="T171" s="2"/>
    </row>
    <row r="172">
      <c r="A172" s="2"/>
      <c r="B172" s="2"/>
      <c r="C172" s="2"/>
      <c r="D172" s="2"/>
      <c r="E172" s="2"/>
      <c r="F172" s="2"/>
      <c r="G172" s="2"/>
      <c r="H172" s="123"/>
      <c r="I172" s="2"/>
      <c r="J172" s="2"/>
      <c r="K172" s="2"/>
      <c r="L172" s="2"/>
      <c r="M172" s="2"/>
      <c r="N172" s="2"/>
      <c r="O172" s="2"/>
      <c r="P172" s="2"/>
      <c r="Q172" s="2"/>
      <c r="R172" s="2"/>
      <c r="S172" s="2"/>
      <c r="T172" s="2"/>
    </row>
    <row r="173">
      <c r="A173" s="2"/>
      <c r="B173" s="2"/>
      <c r="C173" s="2"/>
      <c r="D173" s="2"/>
      <c r="E173" s="2"/>
      <c r="F173" s="2"/>
      <c r="G173" s="2"/>
      <c r="H173" s="123"/>
      <c r="I173" s="2"/>
      <c r="J173" s="2"/>
      <c r="K173" s="2"/>
      <c r="L173" s="2"/>
      <c r="M173" s="2"/>
      <c r="N173" s="2"/>
      <c r="O173" s="2"/>
      <c r="P173" s="2"/>
      <c r="Q173" s="2"/>
      <c r="R173" s="2"/>
      <c r="S173" s="2"/>
      <c r="T173" s="2"/>
    </row>
    <row r="174">
      <c r="A174" s="2"/>
      <c r="B174" s="2"/>
      <c r="C174" s="2"/>
      <c r="D174" s="2"/>
      <c r="E174" s="2"/>
      <c r="F174" s="2"/>
      <c r="G174" s="2"/>
      <c r="H174" s="123"/>
      <c r="I174" s="2"/>
      <c r="J174" s="2"/>
      <c r="K174" s="2"/>
      <c r="L174" s="2"/>
      <c r="M174" s="2"/>
      <c r="N174" s="2"/>
      <c r="O174" s="2"/>
      <c r="P174" s="2"/>
      <c r="Q174" s="2"/>
      <c r="R174" s="2"/>
      <c r="S174" s="2"/>
      <c r="T174" s="2"/>
    </row>
    <row r="175">
      <c r="A175" s="2"/>
      <c r="B175" s="2"/>
      <c r="C175" s="2"/>
      <c r="D175" s="2"/>
      <c r="E175" s="2"/>
      <c r="F175" s="2"/>
      <c r="G175" s="2"/>
      <c r="H175" s="123"/>
      <c r="I175" s="2"/>
      <c r="J175" s="2"/>
      <c r="K175" s="2"/>
      <c r="L175" s="2"/>
      <c r="M175" s="2"/>
      <c r="N175" s="2"/>
      <c r="O175" s="2"/>
      <c r="P175" s="2"/>
      <c r="Q175" s="2"/>
      <c r="R175" s="2"/>
      <c r="S175" s="2"/>
      <c r="T175" s="2"/>
    </row>
    <row r="176">
      <c r="A176" s="2"/>
      <c r="B176" s="2"/>
      <c r="C176" s="2"/>
      <c r="D176" s="2"/>
      <c r="E176" s="2"/>
      <c r="F176" s="2"/>
      <c r="G176" s="2"/>
      <c r="H176" s="123"/>
      <c r="I176" s="2"/>
      <c r="J176" s="2"/>
      <c r="K176" s="2"/>
      <c r="L176" s="2"/>
      <c r="M176" s="2"/>
      <c r="N176" s="2"/>
      <c r="O176" s="2"/>
      <c r="P176" s="2"/>
      <c r="Q176" s="2"/>
      <c r="R176" s="2"/>
      <c r="S176" s="2"/>
      <c r="T176" s="2"/>
    </row>
    <row r="177">
      <c r="A177" s="2"/>
      <c r="B177" s="2"/>
      <c r="C177" s="2"/>
      <c r="D177" s="2"/>
      <c r="E177" s="2"/>
      <c r="F177" s="2"/>
      <c r="G177" s="2"/>
      <c r="H177" s="123"/>
      <c r="I177" s="2"/>
      <c r="J177" s="2"/>
      <c r="K177" s="2"/>
      <c r="L177" s="2"/>
      <c r="M177" s="2"/>
      <c r="N177" s="2"/>
      <c r="O177" s="2"/>
      <c r="P177" s="2"/>
      <c r="Q177" s="2"/>
      <c r="R177" s="2"/>
      <c r="S177" s="2"/>
      <c r="T177" s="2"/>
    </row>
    <row r="178">
      <c r="A178" s="2"/>
      <c r="B178" s="2"/>
      <c r="C178" s="2"/>
      <c r="D178" s="2"/>
      <c r="E178" s="2"/>
      <c r="F178" s="2"/>
      <c r="G178" s="2"/>
      <c r="H178" s="123"/>
      <c r="I178" s="2"/>
      <c r="J178" s="2"/>
      <c r="K178" s="2"/>
      <c r="L178" s="2"/>
      <c r="M178" s="2"/>
      <c r="N178" s="2"/>
      <c r="O178" s="2"/>
      <c r="P178" s="2"/>
      <c r="Q178" s="2"/>
      <c r="R178" s="2"/>
      <c r="S178" s="2"/>
      <c r="T178" s="2"/>
    </row>
    <row r="179">
      <c r="A179" s="2"/>
      <c r="B179" s="2"/>
      <c r="C179" s="2"/>
      <c r="D179" s="2"/>
      <c r="E179" s="2"/>
      <c r="F179" s="2"/>
      <c r="G179" s="2"/>
      <c r="H179" s="123"/>
      <c r="I179" s="2"/>
      <c r="J179" s="2"/>
      <c r="K179" s="2"/>
      <c r="L179" s="2"/>
      <c r="M179" s="2"/>
      <c r="N179" s="2"/>
      <c r="O179" s="2"/>
      <c r="P179" s="2"/>
      <c r="Q179" s="2"/>
      <c r="R179" s="2"/>
      <c r="S179" s="2"/>
      <c r="T179" s="2"/>
    </row>
    <row r="180">
      <c r="A180" s="2"/>
      <c r="B180" s="2"/>
      <c r="C180" s="2"/>
      <c r="D180" s="2"/>
      <c r="E180" s="2"/>
      <c r="F180" s="2"/>
      <c r="G180" s="2"/>
      <c r="H180" s="123"/>
      <c r="I180" s="2"/>
      <c r="J180" s="2"/>
      <c r="K180" s="2"/>
      <c r="L180" s="2"/>
      <c r="M180" s="2"/>
      <c r="N180" s="2"/>
      <c r="O180" s="2"/>
      <c r="P180" s="2"/>
      <c r="Q180" s="2"/>
      <c r="R180" s="2"/>
      <c r="S180" s="2"/>
      <c r="T180" s="2"/>
    </row>
    <row r="181">
      <c r="A181" s="2"/>
      <c r="B181" s="2"/>
      <c r="C181" s="2"/>
      <c r="D181" s="2"/>
      <c r="E181" s="2"/>
      <c r="F181" s="2"/>
      <c r="G181" s="2"/>
      <c r="H181" s="123"/>
      <c r="I181" s="2"/>
      <c r="J181" s="2"/>
      <c r="K181" s="2"/>
      <c r="L181" s="2"/>
      <c r="M181" s="2"/>
      <c r="N181" s="2"/>
      <c r="O181" s="2"/>
      <c r="P181" s="2"/>
      <c r="Q181" s="2"/>
      <c r="R181" s="2"/>
      <c r="S181" s="2"/>
      <c r="T181" s="2"/>
    </row>
    <row r="182">
      <c r="A182" s="2"/>
      <c r="B182" s="2"/>
      <c r="C182" s="2"/>
      <c r="D182" s="2"/>
      <c r="E182" s="2"/>
      <c r="F182" s="2"/>
      <c r="G182" s="2"/>
      <c r="H182" s="123"/>
      <c r="I182" s="2"/>
      <c r="J182" s="2"/>
      <c r="K182" s="2"/>
      <c r="L182" s="2"/>
      <c r="M182" s="2"/>
      <c r="N182" s="2"/>
      <c r="O182" s="2"/>
      <c r="P182" s="2"/>
      <c r="Q182" s="2"/>
      <c r="R182" s="2"/>
      <c r="S182" s="2"/>
      <c r="T182" s="2"/>
    </row>
    <row r="183">
      <c r="A183" s="2"/>
      <c r="B183" s="2"/>
      <c r="C183" s="2"/>
      <c r="D183" s="2"/>
      <c r="E183" s="2"/>
      <c r="F183" s="2"/>
      <c r="G183" s="2"/>
      <c r="H183" s="123"/>
      <c r="I183" s="2"/>
      <c r="J183" s="2"/>
      <c r="K183" s="2"/>
      <c r="L183" s="2"/>
      <c r="M183" s="2"/>
      <c r="N183" s="2"/>
      <c r="O183" s="2"/>
      <c r="P183" s="2"/>
      <c r="Q183" s="2"/>
      <c r="R183" s="2"/>
      <c r="S183" s="2"/>
      <c r="T183" s="2"/>
    </row>
    <row r="184">
      <c r="A184" s="2"/>
      <c r="B184" s="2"/>
      <c r="C184" s="2"/>
      <c r="D184" s="2"/>
      <c r="E184" s="2"/>
      <c r="F184" s="2"/>
      <c r="G184" s="2"/>
      <c r="H184" s="123"/>
      <c r="I184" s="2"/>
      <c r="J184" s="2"/>
      <c r="K184" s="2"/>
      <c r="L184" s="2"/>
      <c r="M184" s="2"/>
      <c r="N184" s="2"/>
      <c r="O184" s="2"/>
      <c r="P184" s="2"/>
      <c r="Q184" s="2"/>
      <c r="R184" s="2"/>
      <c r="S184" s="2"/>
      <c r="T184" s="2"/>
    </row>
    <row r="185">
      <c r="A185" s="2"/>
      <c r="B185" s="2"/>
      <c r="C185" s="2"/>
      <c r="D185" s="2"/>
      <c r="E185" s="2"/>
      <c r="F185" s="2"/>
      <c r="G185" s="2"/>
      <c r="H185" s="123"/>
      <c r="I185" s="2"/>
      <c r="J185" s="2"/>
      <c r="K185" s="2"/>
      <c r="L185" s="2"/>
      <c r="M185" s="2"/>
      <c r="N185" s="2"/>
      <c r="O185" s="2"/>
      <c r="P185" s="2"/>
      <c r="Q185" s="2"/>
      <c r="R185" s="2"/>
      <c r="S185" s="2"/>
      <c r="T185" s="2"/>
    </row>
    <row r="186">
      <c r="A186" s="2"/>
      <c r="B186" s="2"/>
      <c r="C186" s="2"/>
      <c r="D186" s="2"/>
      <c r="E186" s="2"/>
      <c r="F186" s="2"/>
      <c r="G186" s="2"/>
      <c r="H186" s="123"/>
      <c r="I186" s="2"/>
      <c r="J186" s="2"/>
      <c r="K186" s="2"/>
      <c r="L186" s="2"/>
      <c r="M186" s="2"/>
      <c r="N186" s="2"/>
      <c r="O186" s="2"/>
      <c r="P186" s="2"/>
      <c r="Q186" s="2"/>
      <c r="R186" s="2"/>
      <c r="S186" s="2"/>
      <c r="T186" s="2"/>
    </row>
    <row r="187">
      <c r="A187" s="2"/>
      <c r="B187" s="2"/>
      <c r="C187" s="2"/>
      <c r="D187" s="2"/>
      <c r="E187" s="2"/>
      <c r="F187" s="2"/>
      <c r="G187" s="2"/>
      <c r="H187" s="123"/>
      <c r="I187" s="2"/>
      <c r="J187" s="2"/>
      <c r="K187" s="2"/>
      <c r="L187" s="2"/>
      <c r="M187" s="2"/>
      <c r="N187" s="2"/>
      <c r="O187" s="2"/>
      <c r="P187" s="2"/>
      <c r="Q187" s="2"/>
      <c r="R187" s="2"/>
      <c r="S187" s="2"/>
      <c r="T187" s="2"/>
    </row>
    <row r="188">
      <c r="A188" s="2"/>
      <c r="B188" s="2"/>
      <c r="C188" s="2"/>
      <c r="D188" s="2"/>
      <c r="E188" s="2"/>
      <c r="F188" s="2"/>
      <c r="G188" s="2"/>
      <c r="H188" s="123"/>
      <c r="I188" s="2"/>
      <c r="J188" s="2"/>
      <c r="K188" s="2"/>
      <c r="L188" s="2"/>
      <c r="M188" s="2"/>
      <c r="N188" s="2"/>
      <c r="O188" s="2"/>
      <c r="P188" s="2"/>
      <c r="Q188" s="2"/>
      <c r="R188" s="2"/>
      <c r="S188" s="2"/>
      <c r="T188" s="2"/>
    </row>
    <row r="189">
      <c r="A189" s="2"/>
      <c r="B189" s="2"/>
      <c r="C189" s="2"/>
      <c r="D189" s="2"/>
      <c r="E189" s="2"/>
      <c r="F189" s="2"/>
      <c r="G189" s="2"/>
      <c r="H189" s="123"/>
      <c r="I189" s="2"/>
      <c r="J189" s="2"/>
      <c r="K189" s="2"/>
      <c r="L189" s="2"/>
      <c r="M189" s="2"/>
      <c r="N189" s="2"/>
      <c r="O189" s="2"/>
      <c r="P189" s="2"/>
      <c r="Q189" s="2"/>
      <c r="R189" s="2"/>
      <c r="S189" s="2"/>
      <c r="T189" s="2"/>
    </row>
    <row r="190">
      <c r="A190" s="2"/>
      <c r="B190" s="2"/>
      <c r="C190" s="2"/>
      <c r="D190" s="2"/>
      <c r="E190" s="2"/>
      <c r="F190" s="2"/>
      <c r="G190" s="2"/>
      <c r="H190" s="123"/>
      <c r="I190" s="2"/>
      <c r="J190" s="2"/>
      <c r="K190" s="2"/>
      <c r="L190" s="2"/>
      <c r="M190" s="2"/>
      <c r="N190" s="2"/>
      <c r="O190" s="2"/>
      <c r="P190" s="2"/>
      <c r="Q190" s="2"/>
      <c r="R190" s="2"/>
      <c r="S190" s="2"/>
      <c r="T190" s="2"/>
    </row>
    <row r="191">
      <c r="A191" s="2"/>
      <c r="B191" s="2"/>
      <c r="C191" s="2"/>
      <c r="D191" s="2"/>
      <c r="E191" s="2"/>
      <c r="F191" s="2"/>
      <c r="G191" s="2"/>
      <c r="H191" s="123"/>
      <c r="I191" s="2"/>
      <c r="J191" s="2"/>
      <c r="K191" s="2"/>
      <c r="L191" s="2"/>
      <c r="M191" s="2"/>
      <c r="N191" s="2"/>
      <c r="O191" s="2"/>
      <c r="P191" s="2"/>
      <c r="Q191" s="2"/>
      <c r="R191" s="2"/>
      <c r="S191" s="2"/>
      <c r="T191" s="2"/>
    </row>
    <row r="192">
      <c r="A192" s="2"/>
      <c r="B192" s="2"/>
      <c r="C192" s="2"/>
      <c r="D192" s="2"/>
      <c r="E192" s="2"/>
      <c r="F192" s="2"/>
      <c r="G192" s="2"/>
      <c r="H192" s="123"/>
      <c r="I192" s="2"/>
      <c r="J192" s="2"/>
      <c r="K192" s="2"/>
      <c r="L192" s="2"/>
      <c r="M192" s="2"/>
      <c r="N192" s="2"/>
      <c r="O192" s="2"/>
      <c r="P192" s="2"/>
      <c r="Q192" s="2"/>
      <c r="R192" s="2"/>
      <c r="S192" s="2"/>
      <c r="T192" s="2"/>
    </row>
    <row r="193">
      <c r="A193" s="2"/>
      <c r="B193" s="2"/>
      <c r="C193" s="2"/>
      <c r="D193" s="2"/>
      <c r="E193" s="2"/>
      <c r="F193" s="2"/>
      <c r="G193" s="2"/>
      <c r="H193" s="123"/>
      <c r="I193" s="2"/>
      <c r="J193" s="2"/>
      <c r="K193" s="2"/>
      <c r="L193" s="2"/>
      <c r="M193" s="2"/>
      <c r="N193" s="2"/>
      <c r="O193" s="2"/>
      <c r="P193" s="2"/>
      <c r="Q193" s="2"/>
      <c r="R193" s="2"/>
      <c r="S193" s="2"/>
      <c r="T193" s="2"/>
    </row>
    <row r="194">
      <c r="A194" s="2"/>
      <c r="B194" s="2"/>
      <c r="C194" s="2"/>
      <c r="D194" s="2"/>
      <c r="E194" s="2"/>
      <c r="F194" s="2"/>
      <c r="G194" s="2"/>
      <c r="H194" s="123"/>
      <c r="I194" s="2"/>
      <c r="J194" s="2"/>
      <c r="K194" s="2"/>
      <c r="L194" s="2"/>
      <c r="M194" s="2"/>
      <c r="N194" s="2"/>
      <c r="O194" s="2"/>
      <c r="P194" s="2"/>
      <c r="Q194" s="2"/>
      <c r="R194" s="2"/>
      <c r="S194" s="2"/>
      <c r="T194" s="2"/>
    </row>
    <row r="195">
      <c r="A195" s="2"/>
      <c r="B195" s="2"/>
      <c r="C195" s="2"/>
      <c r="D195" s="2"/>
      <c r="E195" s="2"/>
      <c r="F195" s="2"/>
      <c r="G195" s="2"/>
      <c r="H195" s="123"/>
      <c r="I195" s="2"/>
      <c r="J195" s="2"/>
      <c r="K195" s="2"/>
      <c r="L195" s="2"/>
      <c r="M195" s="2"/>
      <c r="N195" s="2"/>
      <c r="O195" s="2"/>
      <c r="P195" s="2"/>
      <c r="Q195" s="2"/>
      <c r="R195" s="2"/>
      <c r="S195" s="2"/>
      <c r="T195" s="2"/>
    </row>
    <row r="196">
      <c r="A196" s="2"/>
      <c r="B196" s="2"/>
      <c r="C196" s="2"/>
      <c r="D196" s="2"/>
      <c r="E196" s="2"/>
      <c r="F196" s="2"/>
      <c r="G196" s="2"/>
      <c r="H196" s="123"/>
      <c r="I196" s="2"/>
      <c r="J196" s="2"/>
      <c r="K196" s="2"/>
      <c r="L196" s="2"/>
      <c r="M196" s="2"/>
      <c r="N196" s="2"/>
      <c r="O196" s="2"/>
      <c r="P196" s="2"/>
      <c r="Q196" s="2"/>
      <c r="R196" s="2"/>
      <c r="S196" s="2"/>
      <c r="T196" s="2"/>
    </row>
    <row r="197">
      <c r="A197" s="2"/>
      <c r="B197" s="2"/>
      <c r="C197" s="2"/>
      <c r="D197" s="2"/>
      <c r="E197" s="2"/>
      <c r="F197" s="2"/>
      <c r="G197" s="2"/>
      <c r="H197" s="123"/>
      <c r="I197" s="2"/>
      <c r="J197" s="2"/>
      <c r="K197" s="2"/>
      <c r="L197" s="2"/>
      <c r="M197" s="2"/>
      <c r="N197" s="2"/>
      <c r="O197" s="2"/>
      <c r="P197" s="2"/>
      <c r="Q197" s="2"/>
      <c r="R197" s="2"/>
      <c r="S197" s="2"/>
      <c r="T197" s="2"/>
    </row>
    <row r="198">
      <c r="A198" s="2"/>
      <c r="B198" s="2"/>
      <c r="C198" s="2"/>
      <c r="D198" s="2"/>
      <c r="E198" s="2"/>
      <c r="F198" s="2"/>
      <c r="G198" s="2"/>
      <c r="H198" s="123"/>
      <c r="I198" s="2"/>
      <c r="J198" s="2"/>
      <c r="K198" s="2"/>
      <c r="L198" s="2"/>
      <c r="M198" s="2"/>
      <c r="N198" s="2"/>
      <c r="O198" s="2"/>
      <c r="P198" s="2"/>
      <c r="Q198" s="2"/>
      <c r="R198" s="2"/>
      <c r="S198" s="2"/>
      <c r="T198" s="2"/>
    </row>
    <row r="199">
      <c r="A199" s="2"/>
      <c r="B199" s="2"/>
      <c r="C199" s="2"/>
      <c r="D199" s="2"/>
      <c r="E199" s="2"/>
      <c r="F199" s="2"/>
      <c r="G199" s="2"/>
      <c r="H199" s="123"/>
      <c r="I199" s="2"/>
      <c r="J199" s="2"/>
      <c r="K199" s="2"/>
      <c r="L199" s="2"/>
      <c r="M199" s="2"/>
      <c r="N199" s="2"/>
      <c r="O199" s="2"/>
      <c r="P199" s="2"/>
      <c r="Q199" s="2"/>
      <c r="R199" s="2"/>
      <c r="S199" s="2"/>
      <c r="T199" s="2"/>
    </row>
    <row r="200">
      <c r="A200" s="2"/>
      <c r="B200" s="2"/>
      <c r="C200" s="2"/>
      <c r="D200" s="2"/>
      <c r="E200" s="2"/>
      <c r="F200" s="2"/>
      <c r="G200" s="2"/>
      <c r="H200" s="123"/>
      <c r="I200" s="2"/>
      <c r="J200" s="2"/>
      <c r="K200" s="2"/>
      <c r="L200" s="2"/>
      <c r="M200" s="2"/>
      <c r="N200" s="2"/>
      <c r="O200" s="2"/>
      <c r="P200" s="2"/>
      <c r="Q200" s="2"/>
      <c r="R200" s="2"/>
      <c r="S200" s="2"/>
      <c r="T200" s="2"/>
    </row>
    <row r="201">
      <c r="A201" s="2"/>
      <c r="B201" s="2"/>
      <c r="C201" s="2"/>
      <c r="D201" s="2"/>
      <c r="E201" s="2"/>
      <c r="F201" s="2"/>
      <c r="G201" s="2"/>
      <c r="H201" s="123"/>
      <c r="I201" s="2"/>
      <c r="J201" s="2"/>
      <c r="K201" s="2"/>
      <c r="L201" s="2"/>
      <c r="M201" s="2"/>
      <c r="N201" s="2"/>
      <c r="O201" s="2"/>
      <c r="P201" s="2"/>
      <c r="Q201" s="2"/>
      <c r="R201" s="2"/>
      <c r="S201" s="2"/>
      <c r="T201" s="2"/>
    </row>
    <row r="202">
      <c r="A202" s="2"/>
      <c r="B202" s="2"/>
      <c r="C202" s="2"/>
      <c r="D202" s="2"/>
      <c r="E202" s="2"/>
      <c r="F202" s="2"/>
      <c r="G202" s="2"/>
      <c r="H202" s="123"/>
      <c r="I202" s="2"/>
      <c r="J202" s="2"/>
      <c r="K202" s="2"/>
      <c r="L202" s="2"/>
      <c r="M202" s="2"/>
      <c r="N202" s="2"/>
      <c r="O202" s="2"/>
      <c r="P202" s="2"/>
      <c r="Q202" s="2"/>
      <c r="R202" s="2"/>
      <c r="S202" s="2"/>
      <c r="T202" s="2"/>
    </row>
    <row r="203">
      <c r="A203" s="2"/>
      <c r="B203" s="2"/>
      <c r="C203" s="2"/>
      <c r="D203" s="2"/>
      <c r="E203" s="2"/>
      <c r="F203" s="2"/>
      <c r="G203" s="2"/>
      <c r="H203" s="123"/>
      <c r="I203" s="2"/>
      <c r="J203" s="2"/>
      <c r="K203" s="2"/>
      <c r="L203" s="2"/>
      <c r="M203" s="2"/>
      <c r="N203" s="2"/>
      <c r="O203" s="2"/>
      <c r="P203" s="2"/>
      <c r="Q203" s="2"/>
      <c r="R203" s="2"/>
      <c r="S203" s="2"/>
      <c r="T203" s="2"/>
    </row>
    <row r="204">
      <c r="A204" s="2"/>
      <c r="B204" s="2"/>
      <c r="C204" s="2"/>
      <c r="D204" s="2"/>
      <c r="E204" s="2"/>
      <c r="F204" s="2"/>
      <c r="G204" s="2"/>
      <c r="H204" s="123"/>
      <c r="I204" s="2"/>
      <c r="J204" s="2"/>
      <c r="K204" s="2"/>
      <c r="L204" s="2"/>
      <c r="M204" s="2"/>
      <c r="N204" s="2"/>
      <c r="O204" s="2"/>
      <c r="P204" s="2"/>
      <c r="Q204" s="2"/>
      <c r="R204" s="2"/>
      <c r="S204" s="2"/>
      <c r="T204" s="2"/>
    </row>
    <row r="205">
      <c r="A205" s="2"/>
      <c r="B205" s="2"/>
      <c r="C205" s="2"/>
      <c r="D205" s="2"/>
      <c r="E205" s="2"/>
      <c r="F205" s="2"/>
      <c r="G205" s="2"/>
      <c r="H205" s="123"/>
      <c r="I205" s="2"/>
      <c r="J205" s="2"/>
      <c r="K205" s="2"/>
      <c r="L205" s="2"/>
      <c r="M205" s="2"/>
      <c r="N205" s="2"/>
      <c r="O205" s="2"/>
      <c r="P205" s="2"/>
      <c r="Q205" s="2"/>
      <c r="R205" s="2"/>
      <c r="S205" s="2"/>
      <c r="T205" s="2"/>
    </row>
    <row r="206">
      <c r="A206" s="2"/>
      <c r="B206" s="2"/>
      <c r="C206" s="2"/>
      <c r="D206" s="2"/>
      <c r="E206" s="2"/>
      <c r="F206" s="2"/>
      <c r="G206" s="2"/>
      <c r="H206" s="123"/>
      <c r="I206" s="2"/>
      <c r="J206" s="2"/>
      <c r="K206" s="2"/>
      <c r="L206" s="2"/>
      <c r="M206" s="2"/>
      <c r="N206" s="2"/>
      <c r="O206" s="2"/>
      <c r="P206" s="2"/>
      <c r="Q206" s="2"/>
      <c r="R206" s="2"/>
      <c r="S206" s="2"/>
      <c r="T206" s="2"/>
    </row>
    <row r="207">
      <c r="A207" s="2"/>
      <c r="B207" s="2"/>
      <c r="C207" s="2"/>
      <c r="D207" s="2"/>
      <c r="E207" s="2"/>
      <c r="F207" s="2"/>
      <c r="G207" s="2"/>
      <c r="H207" s="123"/>
      <c r="I207" s="2"/>
      <c r="J207" s="2"/>
      <c r="K207" s="2"/>
      <c r="L207" s="2"/>
      <c r="M207" s="2"/>
      <c r="N207" s="2"/>
      <c r="O207" s="2"/>
      <c r="P207" s="2"/>
      <c r="Q207" s="2"/>
      <c r="R207" s="2"/>
      <c r="S207" s="2"/>
      <c r="T207" s="2"/>
    </row>
    <row r="208">
      <c r="A208" s="2"/>
      <c r="B208" s="2"/>
      <c r="C208" s="2"/>
      <c r="D208" s="2"/>
      <c r="E208" s="2"/>
      <c r="F208" s="2"/>
      <c r="G208" s="2"/>
      <c r="H208" s="123"/>
      <c r="I208" s="2"/>
      <c r="J208" s="2"/>
      <c r="K208" s="2"/>
      <c r="L208" s="2"/>
      <c r="M208" s="2"/>
      <c r="N208" s="2"/>
      <c r="O208" s="2"/>
      <c r="P208" s="2"/>
      <c r="Q208" s="2"/>
      <c r="R208" s="2"/>
      <c r="S208" s="2"/>
      <c r="T208" s="2"/>
    </row>
    <row r="209">
      <c r="A209" s="2"/>
      <c r="B209" s="2"/>
      <c r="C209" s="2"/>
      <c r="D209" s="2"/>
      <c r="E209" s="2"/>
      <c r="F209" s="2"/>
      <c r="G209" s="2"/>
      <c r="H209" s="123"/>
      <c r="I209" s="2"/>
      <c r="J209" s="2"/>
      <c r="K209" s="2"/>
      <c r="L209" s="2"/>
      <c r="M209" s="2"/>
      <c r="N209" s="2"/>
      <c r="O209" s="2"/>
      <c r="P209" s="2"/>
      <c r="Q209" s="2"/>
      <c r="R209" s="2"/>
      <c r="S209" s="2"/>
      <c r="T209" s="2"/>
    </row>
    <row r="210">
      <c r="A210" s="2"/>
      <c r="B210" s="2"/>
      <c r="C210" s="2"/>
      <c r="D210" s="2"/>
      <c r="E210" s="2"/>
      <c r="F210" s="2"/>
      <c r="G210" s="2"/>
      <c r="H210" s="123"/>
      <c r="I210" s="2"/>
      <c r="J210" s="2"/>
      <c r="K210" s="2"/>
      <c r="L210" s="2"/>
      <c r="M210" s="2"/>
      <c r="N210" s="2"/>
      <c r="O210" s="2"/>
      <c r="P210" s="2"/>
      <c r="Q210" s="2"/>
      <c r="R210" s="2"/>
      <c r="S210" s="2"/>
      <c r="T210" s="2"/>
    </row>
    <row r="211">
      <c r="A211" s="2"/>
      <c r="B211" s="2"/>
      <c r="C211" s="2"/>
      <c r="D211" s="2"/>
      <c r="E211" s="2"/>
      <c r="F211" s="2"/>
      <c r="G211" s="2"/>
      <c r="H211" s="123"/>
      <c r="I211" s="2"/>
      <c r="J211" s="2"/>
      <c r="K211" s="2"/>
      <c r="L211" s="2"/>
      <c r="M211" s="2"/>
      <c r="N211" s="2"/>
      <c r="O211" s="2"/>
      <c r="P211" s="2"/>
      <c r="Q211" s="2"/>
      <c r="R211" s="2"/>
      <c r="S211" s="2"/>
      <c r="T211" s="2"/>
    </row>
    <row r="212">
      <c r="A212" s="2"/>
      <c r="B212" s="2"/>
      <c r="C212" s="2"/>
      <c r="D212" s="2"/>
      <c r="E212" s="2"/>
      <c r="F212" s="2"/>
      <c r="G212" s="2"/>
      <c r="H212" s="123"/>
      <c r="I212" s="2"/>
      <c r="J212" s="2"/>
      <c r="K212" s="2"/>
      <c r="L212" s="2"/>
      <c r="M212" s="2"/>
      <c r="N212" s="2"/>
      <c r="O212" s="2"/>
      <c r="P212" s="2"/>
      <c r="Q212" s="2"/>
      <c r="R212" s="2"/>
      <c r="S212" s="2"/>
      <c r="T212" s="2"/>
    </row>
    <row r="213">
      <c r="A213" s="2"/>
      <c r="B213" s="2"/>
      <c r="C213" s="2"/>
      <c r="D213" s="2"/>
      <c r="E213" s="2"/>
      <c r="F213" s="2"/>
      <c r="G213" s="2"/>
      <c r="H213" s="123"/>
      <c r="I213" s="2"/>
      <c r="J213" s="2"/>
      <c r="K213" s="2"/>
      <c r="L213" s="2"/>
      <c r="M213" s="2"/>
      <c r="N213" s="2"/>
      <c r="O213" s="2"/>
      <c r="P213" s="2"/>
      <c r="Q213" s="2"/>
      <c r="R213" s="2"/>
      <c r="S213" s="2"/>
      <c r="T213" s="2"/>
    </row>
    <row r="214">
      <c r="A214" s="2"/>
      <c r="B214" s="2"/>
      <c r="C214" s="2"/>
      <c r="D214" s="2"/>
      <c r="E214" s="2"/>
      <c r="F214" s="2"/>
      <c r="G214" s="2"/>
      <c r="H214" s="123"/>
      <c r="I214" s="2"/>
      <c r="J214" s="2"/>
      <c r="K214" s="2"/>
      <c r="L214" s="2"/>
      <c r="M214" s="2"/>
      <c r="N214" s="2"/>
      <c r="O214" s="2"/>
      <c r="P214" s="2"/>
      <c r="Q214" s="2"/>
      <c r="R214" s="2"/>
      <c r="S214" s="2"/>
      <c r="T214" s="2"/>
    </row>
    <row r="215">
      <c r="A215" s="2"/>
      <c r="B215" s="2"/>
      <c r="C215" s="2"/>
      <c r="D215" s="2"/>
      <c r="E215" s="2"/>
      <c r="F215" s="2"/>
      <c r="G215" s="2"/>
      <c r="H215" s="123"/>
      <c r="I215" s="2"/>
      <c r="J215" s="2"/>
      <c r="K215" s="2"/>
      <c r="L215" s="2"/>
      <c r="M215" s="2"/>
      <c r="N215" s="2"/>
      <c r="O215" s="2"/>
      <c r="P215" s="2"/>
      <c r="Q215" s="2"/>
      <c r="R215" s="2"/>
      <c r="S215" s="2"/>
      <c r="T215" s="2"/>
    </row>
    <row r="216">
      <c r="A216" s="2"/>
      <c r="B216" s="2"/>
      <c r="C216" s="2"/>
      <c r="D216" s="2"/>
      <c r="E216" s="2"/>
      <c r="F216" s="2"/>
      <c r="G216" s="2"/>
      <c r="H216" s="123"/>
      <c r="I216" s="2"/>
      <c r="J216" s="2"/>
      <c r="K216" s="2"/>
      <c r="L216" s="2"/>
      <c r="M216" s="2"/>
      <c r="N216" s="2"/>
      <c r="O216" s="2"/>
      <c r="P216" s="2"/>
      <c r="Q216" s="2"/>
      <c r="R216" s="2"/>
      <c r="S216" s="2"/>
      <c r="T216" s="2"/>
    </row>
    <row r="217">
      <c r="A217" s="2"/>
      <c r="B217" s="2"/>
      <c r="C217" s="2"/>
      <c r="D217" s="2"/>
      <c r="E217" s="2"/>
      <c r="F217" s="2"/>
      <c r="G217" s="2"/>
      <c r="H217" s="123"/>
      <c r="I217" s="2"/>
      <c r="J217" s="2"/>
      <c r="K217" s="2"/>
      <c r="L217" s="2"/>
      <c r="M217" s="2"/>
      <c r="N217" s="2"/>
      <c r="O217" s="2"/>
      <c r="P217" s="2"/>
      <c r="Q217" s="2"/>
      <c r="R217" s="2"/>
      <c r="S217" s="2"/>
      <c r="T217" s="2"/>
    </row>
    <row r="218">
      <c r="A218" s="2"/>
      <c r="B218" s="2"/>
      <c r="C218" s="2"/>
      <c r="D218" s="2"/>
      <c r="E218" s="2"/>
      <c r="F218" s="2"/>
      <c r="G218" s="2"/>
      <c r="H218" s="123"/>
      <c r="I218" s="2"/>
      <c r="J218" s="2"/>
      <c r="K218" s="2"/>
      <c r="L218" s="2"/>
      <c r="M218" s="2"/>
      <c r="N218" s="2"/>
      <c r="O218" s="2"/>
      <c r="P218" s="2"/>
      <c r="Q218" s="2"/>
      <c r="R218" s="2"/>
      <c r="S218" s="2"/>
      <c r="T218" s="2"/>
    </row>
    <row r="219">
      <c r="A219" s="2"/>
      <c r="B219" s="2"/>
      <c r="C219" s="2"/>
      <c r="D219" s="2"/>
      <c r="E219" s="2"/>
      <c r="F219" s="2"/>
      <c r="G219" s="2"/>
      <c r="H219" s="123"/>
      <c r="I219" s="2"/>
      <c r="J219" s="2"/>
      <c r="K219" s="2"/>
      <c r="L219" s="2"/>
      <c r="M219" s="2"/>
      <c r="N219" s="2"/>
      <c r="O219" s="2"/>
      <c r="P219" s="2"/>
      <c r="Q219" s="2"/>
      <c r="R219" s="2"/>
      <c r="S219" s="2"/>
      <c r="T219" s="2"/>
    </row>
    <row r="220">
      <c r="A220" s="2"/>
      <c r="B220" s="2"/>
      <c r="C220" s="2"/>
      <c r="D220" s="2"/>
      <c r="E220" s="2"/>
      <c r="F220" s="2"/>
      <c r="G220" s="2"/>
      <c r="H220" s="123"/>
      <c r="I220" s="2"/>
      <c r="J220" s="2"/>
      <c r="K220" s="2"/>
      <c r="L220" s="2"/>
      <c r="M220" s="2"/>
      <c r="N220" s="2"/>
      <c r="O220" s="2"/>
      <c r="P220" s="2"/>
      <c r="Q220" s="2"/>
      <c r="R220" s="2"/>
      <c r="S220" s="2"/>
      <c r="T220" s="2"/>
    </row>
    <row r="221">
      <c r="A221" s="2"/>
      <c r="B221" s="2"/>
      <c r="C221" s="2"/>
      <c r="D221" s="2"/>
      <c r="E221" s="2"/>
      <c r="F221" s="2"/>
      <c r="G221" s="2"/>
      <c r="H221" s="123"/>
      <c r="I221" s="2"/>
      <c r="J221" s="2"/>
      <c r="K221" s="2"/>
      <c r="L221" s="2"/>
      <c r="M221" s="2"/>
      <c r="N221" s="2"/>
      <c r="O221" s="2"/>
      <c r="P221" s="2"/>
      <c r="Q221" s="2"/>
      <c r="R221" s="2"/>
      <c r="S221" s="2"/>
      <c r="T221" s="2"/>
    </row>
    <row r="222">
      <c r="A222" s="2"/>
      <c r="B222" s="2"/>
      <c r="C222" s="2"/>
      <c r="D222" s="2"/>
      <c r="E222" s="2"/>
      <c r="F222" s="2"/>
      <c r="G222" s="2"/>
      <c r="H222" s="123"/>
      <c r="I222" s="2"/>
      <c r="J222" s="2"/>
      <c r="K222" s="2"/>
      <c r="L222" s="2"/>
      <c r="M222" s="2"/>
      <c r="N222" s="2"/>
      <c r="O222" s="2"/>
      <c r="P222" s="2"/>
      <c r="Q222" s="2"/>
      <c r="R222" s="2"/>
      <c r="S222" s="2"/>
      <c r="T222" s="2"/>
    </row>
    <row r="223">
      <c r="A223" s="2"/>
      <c r="B223" s="2"/>
      <c r="C223" s="2"/>
      <c r="D223" s="2"/>
      <c r="E223" s="2"/>
      <c r="F223" s="2"/>
      <c r="G223" s="2"/>
      <c r="H223" s="123"/>
      <c r="I223" s="2"/>
      <c r="J223" s="2"/>
      <c r="K223" s="2"/>
      <c r="L223" s="2"/>
      <c r="M223" s="2"/>
      <c r="N223" s="2"/>
      <c r="O223" s="2"/>
      <c r="P223" s="2"/>
      <c r="Q223" s="2"/>
      <c r="R223" s="2"/>
      <c r="S223" s="2"/>
      <c r="T223" s="2"/>
    </row>
    <row r="224">
      <c r="A224" s="2"/>
      <c r="B224" s="2"/>
      <c r="C224" s="2"/>
      <c r="D224" s="2"/>
      <c r="E224" s="2"/>
      <c r="F224" s="2"/>
      <c r="G224" s="2"/>
      <c r="H224" s="123"/>
      <c r="I224" s="2"/>
      <c r="J224" s="2"/>
      <c r="K224" s="2"/>
      <c r="L224" s="2"/>
      <c r="M224" s="2"/>
      <c r="N224" s="2"/>
      <c r="O224" s="2"/>
      <c r="P224" s="2"/>
      <c r="Q224" s="2"/>
      <c r="R224" s="2"/>
      <c r="S224" s="2"/>
      <c r="T224" s="2"/>
    </row>
    <row r="225">
      <c r="A225" s="2"/>
      <c r="B225" s="2"/>
      <c r="C225" s="2"/>
      <c r="D225" s="2"/>
      <c r="E225" s="2"/>
      <c r="F225" s="2"/>
      <c r="G225" s="2"/>
      <c r="H225" s="123"/>
      <c r="I225" s="2"/>
      <c r="J225" s="2"/>
      <c r="K225" s="2"/>
      <c r="L225" s="2"/>
      <c r="M225" s="2"/>
      <c r="N225" s="2"/>
      <c r="O225" s="2"/>
      <c r="P225" s="2"/>
      <c r="Q225" s="2"/>
      <c r="R225" s="2"/>
      <c r="S225" s="2"/>
      <c r="T225" s="2"/>
    </row>
    <row r="226">
      <c r="A226" s="2"/>
      <c r="B226" s="2"/>
      <c r="C226" s="2"/>
      <c r="D226" s="2"/>
      <c r="E226" s="2"/>
      <c r="F226" s="2"/>
      <c r="G226" s="2"/>
      <c r="H226" s="123"/>
      <c r="I226" s="2"/>
      <c r="J226" s="2"/>
      <c r="K226" s="2"/>
      <c r="L226" s="2"/>
      <c r="M226" s="2"/>
      <c r="N226" s="2"/>
      <c r="O226" s="2"/>
      <c r="P226" s="2"/>
      <c r="Q226" s="2"/>
      <c r="R226" s="2"/>
      <c r="S226" s="2"/>
      <c r="T226" s="2"/>
    </row>
    <row r="227">
      <c r="A227" s="2"/>
      <c r="B227" s="2"/>
      <c r="C227" s="2"/>
      <c r="D227" s="2"/>
      <c r="E227" s="2"/>
      <c r="F227" s="2"/>
      <c r="G227" s="2"/>
      <c r="H227" s="123"/>
      <c r="I227" s="2"/>
      <c r="J227" s="2"/>
      <c r="K227" s="2"/>
      <c r="L227" s="2"/>
      <c r="M227" s="2"/>
      <c r="N227" s="2"/>
      <c r="O227" s="2"/>
      <c r="P227" s="2"/>
      <c r="Q227" s="2"/>
      <c r="R227" s="2"/>
      <c r="S227" s="2"/>
      <c r="T227" s="2"/>
    </row>
    <row r="228">
      <c r="A228" s="2"/>
      <c r="B228" s="2"/>
      <c r="C228" s="2"/>
      <c r="D228" s="2"/>
      <c r="E228" s="2"/>
      <c r="F228" s="2"/>
      <c r="G228" s="2"/>
      <c r="H228" s="123"/>
      <c r="I228" s="2"/>
      <c r="J228" s="2"/>
      <c r="K228" s="2"/>
      <c r="L228" s="2"/>
      <c r="M228" s="2"/>
      <c r="N228" s="2"/>
      <c r="O228" s="2"/>
      <c r="P228" s="2"/>
      <c r="Q228" s="2"/>
      <c r="R228" s="2"/>
      <c r="S228" s="2"/>
      <c r="T228" s="2"/>
    </row>
    <row r="229">
      <c r="A229" s="2"/>
      <c r="B229" s="2"/>
      <c r="C229" s="2"/>
      <c r="D229" s="2"/>
      <c r="E229" s="2"/>
      <c r="F229" s="2"/>
      <c r="G229" s="2"/>
      <c r="H229" s="123"/>
      <c r="I229" s="2"/>
      <c r="J229" s="2"/>
      <c r="K229" s="2"/>
      <c r="L229" s="2"/>
      <c r="M229" s="2"/>
      <c r="N229" s="2"/>
      <c r="O229" s="2"/>
      <c r="P229" s="2"/>
      <c r="Q229" s="2"/>
      <c r="R229" s="2"/>
      <c r="S229" s="2"/>
      <c r="T229" s="2"/>
    </row>
    <row r="230">
      <c r="A230" s="2"/>
      <c r="B230" s="2"/>
      <c r="C230" s="2"/>
      <c r="D230" s="2"/>
      <c r="E230" s="2"/>
      <c r="F230" s="2"/>
      <c r="G230" s="2"/>
      <c r="H230" s="123"/>
      <c r="I230" s="2"/>
      <c r="J230" s="2"/>
      <c r="K230" s="2"/>
      <c r="L230" s="2"/>
      <c r="M230" s="2"/>
      <c r="N230" s="2"/>
      <c r="O230" s="2"/>
      <c r="P230" s="2"/>
      <c r="Q230" s="2"/>
      <c r="R230" s="2"/>
      <c r="S230" s="2"/>
      <c r="T230" s="2"/>
    </row>
    <row r="231">
      <c r="A231" s="2"/>
      <c r="B231" s="2"/>
      <c r="C231" s="2"/>
      <c r="D231" s="2"/>
      <c r="E231" s="2"/>
      <c r="F231" s="2"/>
      <c r="G231" s="2"/>
      <c r="H231" s="123"/>
      <c r="I231" s="2"/>
      <c r="J231" s="2"/>
      <c r="K231" s="2"/>
      <c r="L231" s="2"/>
      <c r="M231" s="2"/>
      <c r="N231" s="2"/>
      <c r="O231" s="2"/>
      <c r="P231" s="2"/>
      <c r="Q231" s="2"/>
      <c r="R231" s="2"/>
      <c r="S231" s="2"/>
      <c r="T231" s="2"/>
    </row>
    <row r="232">
      <c r="A232" s="2"/>
      <c r="B232" s="2"/>
      <c r="C232" s="2"/>
      <c r="D232" s="2"/>
      <c r="E232" s="2"/>
      <c r="F232" s="2"/>
      <c r="G232" s="2"/>
      <c r="H232" s="123"/>
      <c r="I232" s="2"/>
      <c r="J232" s="2"/>
      <c r="K232" s="2"/>
      <c r="L232" s="2"/>
      <c r="M232" s="2"/>
      <c r="N232" s="2"/>
      <c r="O232" s="2"/>
      <c r="P232" s="2"/>
      <c r="Q232" s="2"/>
      <c r="R232" s="2"/>
      <c r="S232" s="2"/>
      <c r="T232" s="2"/>
    </row>
    <row r="233">
      <c r="A233" s="2"/>
      <c r="B233" s="2"/>
      <c r="C233" s="2"/>
      <c r="D233" s="2"/>
      <c r="E233" s="2"/>
      <c r="F233" s="2"/>
      <c r="G233" s="2"/>
      <c r="H233" s="123"/>
      <c r="I233" s="2"/>
      <c r="J233" s="2"/>
      <c r="K233" s="2"/>
      <c r="L233" s="2"/>
      <c r="M233" s="2"/>
      <c r="N233" s="2"/>
      <c r="O233" s="2"/>
      <c r="P233" s="2"/>
      <c r="Q233" s="2"/>
      <c r="R233" s="2"/>
      <c r="S233" s="2"/>
      <c r="T233" s="2"/>
    </row>
    <row r="234">
      <c r="A234" s="2"/>
      <c r="B234" s="2"/>
      <c r="C234" s="2"/>
      <c r="D234" s="2"/>
      <c r="E234" s="2"/>
      <c r="F234" s="2"/>
      <c r="G234" s="2"/>
      <c r="H234" s="123"/>
      <c r="I234" s="2"/>
      <c r="J234" s="2"/>
      <c r="K234" s="2"/>
      <c r="L234" s="2"/>
      <c r="M234" s="2"/>
      <c r="N234" s="2"/>
      <c r="O234" s="2"/>
      <c r="P234" s="2"/>
      <c r="Q234" s="2"/>
      <c r="R234" s="2"/>
      <c r="S234" s="2"/>
      <c r="T234" s="2"/>
    </row>
    <row r="235">
      <c r="A235" s="2"/>
      <c r="B235" s="2"/>
      <c r="C235" s="2"/>
      <c r="D235" s="2"/>
      <c r="E235" s="2"/>
      <c r="F235" s="2"/>
      <c r="G235" s="2"/>
      <c r="H235" s="123"/>
      <c r="I235" s="2"/>
      <c r="J235" s="2"/>
      <c r="K235" s="2"/>
      <c r="L235" s="2"/>
      <c r="M235" s="2"/>
      <c r="N235" s="2"/>
      <c r="O235" s="2"/>
      <c r="P235" s="2"/>
      <c r="Q235" s="2"/>
      <c r="R235" s="2"/>
      <c r="S235" s="2"/>
      <c r="T235" s="2"/>
    </row>
    <row r="236">
      <c r="A236" s="2"/>
      <c r="B236" s="2"/>
      <c r="C236" s="2"/>
      <c r="D236" s="2"/>
      <c r="E236" s="2"/>
      <c r="F236" s="2"/>
      <c r="G236" s="2"/>
      <c r="H236" s="123"/>
      <c r="I236" s="2"/>
      <c r="J236" s="2"/>
      <c r="K236" s="2"/>
      <c r="L236" s="2"/>
      <c r="M236" s="2"/>
      <c r="N236" s="2"/>
      <c r="O236" s="2"/>
      <c r="P236" s="2"/>
      <c r="Q236" s="2"/>
      <c r="R236" s="2"/>
      <c r="S236" s="2"/>
      <c r="T236" s="2"/>
    </row>
    <row r="237">
      <c r="A237" s="2"/>
      <c r="B237" s="2"/>
      <c r="C237" s="2"/>
      <c r="D237" s="2"/>
      <c r="E237" s="2"/>
      <c r="F237" s="2"/>
      <c r="G237" s="2"/>
      <c r="H237" s="123"/>
      <c r="I237" s="2"/>
      <c r="J237" s="2"/>
      <c r="K237" s="2"/>
      <c r="L237" s="2"/>
      <c r="M237" s="2"/>
      <c r="N237" s="2"/>
      <c r="O237" s="2"/>
      <c r="P237" s="2"/>
      <c r="Q237" s="2"/>
      <c r="R237" s="2"/>
      <c r="S237" s="2"/>
      <c r="T237" s="2"/>
    </row>
    <row r="238">
      <c r="A238" s="2"/>
      <c r="B238" s="2"/>
      <c r="C238" s="2"/>
      <c r="D238" s="2"/>
      <c r="E238" s="2"/>
      <c r="F238" s="2"/>
      <c r="G238" s="2"/>
      <c r="H238" s="123"/>
      <c r="I238" s="2"/>
      <c r="J238" s="2"/>
      <c r="K238" s="2"/>
      <c r="L238" s="2"/>
      <c r="M238" s="2"/>
      <c r="N238" s="2"/>
      <c r="O238" s="2"/>
      <c r="P238" s="2"/>
      <c r="Q238" s="2"/>
      <c r="R238" s="2"/>
      <c r="S238" s="2"/>
      <c r="T238" s="2"/>
    </row>
    <row r="239">
      <c r="A239" s="2"/>
      <c r="B239" s="2"/>
      <c r="C239" s="2"/>
      <c r="D239" s="2"/>
      <c r="E239" s="2"/>
      <c r="F239" s="2"/>
      <c r="G239" s="2"/>
      <c r="H239" s="123"/>
      <c r="I239" s="2"/>
      <c r="J239" s="2"/>
      <c r="K239" s="2"/>
      <c r="L239" s="2"/>
      <c r="M239" s="2"/>
      <c r="N239" s="2"/>
      <c r="O239" s="2"/>
      <c r="P239" s="2"/>
      <c r="Q239" s="2"/>
      <c r="R239" s="2"/>
      <c r="S239" s="2"/>
      <c r="T239" s="2"/>
    </row>
    <row r="240">
      <c r="A240" s="2"/>
      <c r="B240" s="2"/>
      <c r="C240" s="2"/>
      <c r="D240" s="2"/>
      <c r="E240" s="2"/>
      <c r="F240" s="2"/>
      <c r="G240" s="2"/>
      <c r="H240" s="123"/>
      <c r="I240" s="2"/>
      <c r="J240" s="2"/>
      <c r="K240" s="2"/>
      <c r="L240" s="2"/>
      <c r="M240" s="2"/>
      <c r="N240" s="2"/>
      <c r="O240" s="2"/>
      <c r="P240" s="2"/>
      <c r="Q240" s="2"/>
      <c r="R240" s="2"/>
      <c r="S240" s="2"/>
      <c r="T240" s="2"/>
    </row>
    <row r="241">
      <c r="A241" s="2"/>
      <c r="B241" s="2"/>
      <c r="C241" s="2"/>
      <c r="D241" s="2"/>
      <c r="E241" s="2"/>
      <c r="F241" s="2"/>
      <c r="G241" s="2"/>
      <c r="H241" s="123"/>
      <c r="I241" s="2"/>
      <c r="J241" s="2"/>
      <c r="K241" s="2"/>
      <c r="L241" s="2"/>
      <c r="M241" s="2"/>
      <c r="N241" s="2"/>
      <c r="O241" s="2"/>
      <c r="P241" s="2"/>
      <c r="Q241" s="2"/>
      <c r="R241" s="2"/>
      <c r="S241" s="2"/>
      <c r="T241" s="2"/>
    </row>
    <row r="242">
      <c r="A242" s="2"/>
      <c r="B242" s="2"/>
      <c r="C242" s="2"/>
      <c r="D242" s="2"/>
      <c r="E242" s="2"/>
      <c r="F242" s="2"/>
      <c r="G242" s="2"/>
      <c r="H242" s="123"/>
      <c r="I242" s="2"/>
      <c r="J242" s="2"/>
      <c r="K242" s="2"/>
      <c r="L242" s="2"/>
      <c r="M242" s="2"/>
      <c r="N242" s="2"/>
      <c r="O242" s="2"/>
      <c r="P242" s="2"/>
      <c r="Q242" s="2"/>
      <c r="R242" s="2"/>
      <c r="S242" s="2"/>
      <c r="T242" s="2"/>
    </row>
    <row r="243">
      <c r="A243" s="2"/>
      <c r="B243" s="2"/>
      <c r="C243" s="2"/>
      <c r="D243" s="2"/>
      <c r="E243" s="2"/>
      <c r="F243" s="2"/>
      <c r="G243" s="2"/>
      <c r="H243" s="123"/>
      <c r="I243" s="2"/>
      <c r="J243" s="2"/>
      <c r="K243" s="2"/>
      <c r="L243" s="2"/>
      <c r="M243" s="2"/>
      <c r="N243" s="2"/>
      <c r="O243" s="2"/>
      <c r="P243" s="2"/>
      <c r="Q243" s="2"/>
      <c r="R243" s="2"/>
      <c r="S243" s="2"/>
      <c r="T243" s="2"/>
    </row>
    <row r="244">
      <c r="A244" s="2"/>
      <c r="B244" s="2"/>
      <c r="C244" s="2"/>
      <c r="D244" s="2"/>
      <c r="E244" s="2"/>
      <c r="F244" s="2"/>
      <c r="G244" s="2"/>
      <c r="H244" s="123"/>
      <c r="I244" s="2"/>
      <c r="J244" s="2"/>
      <c r="K244" s="2"/>
      <c r="L244" s="2"/>
      <c r="M244" s="2"/>
      <c r="N244" s="2"/>
      <c r="O244" s="2"/>
      <c r="P244" s="2"/>
      <c r="Q244" s="2"/>
      <c r="R244" s="2"/>
      <c r="S244" s="2"/>
      <c r="T244" s="2"/>
    </row>
    <row r="245">
      <c r="A245" s="2"/>
      <c r="B245" s="2"/>
      <c r="C245" s="2"/>
      <c r="D245" s="2"/>
      <c r="E245" s="2"/>
      <c r="F245" s="2"/>
      <c r="G245" s="2"/>
      <c r="H245" s="123"/>
      <c r="I245" s="2"/>
      <c r="J245" s="2"/>
      <c r="K245" s="2"/>
      <c r="L245" s="2"/>
      <c r="M245" s="2"/>
      <c r="N245" s="2"/>
      <c r="O245" s="2"/>
      <c r="P245" s="2"/>
      <c r="Q245" s="2"/>
      <c r="R245" s="2"/>
      <c r="S245" s="2"/>
      <c r="T245" s="2"/>
    </row>
    <row r="246">
      <c r="A246" s="2"/>
      <c r="B246" s="2"/>
      <c r="C246" s="2"/>
      <c r="D246" s="2"/>
      <c r="E246" s="2"/>
      <c r="F246" s="2"/>
      <c r="G246" s="2"/>
      <c r="H246" s="123"/>
      <c r="I246" s="2"/>
      <c r="J246" s="2"/>
      <c r="K246" s="2"/>
      <c r="L246" s="2"/>
      <c r="M246" s="2"/>
      <c r="N246" s="2"/>
      <c r="O246" s="2"/>
      <c r="P246" s="2"/>
      <c r="Q246" s="2"/>
      <c r="R246" s="2"/>
      <c r="S246" s="2"/>
      <c r="T246" s="2"/>
    </row>
    <row r="247">
      <c r="A247" s="2"/>
      <c r="B247" s="2"/>
      <c r="C247" s="2"/>
      <c r="D247" s="2"/>
      <c r="E247" s="2"/>
      <c r="F247" s="2"/>
      <c r="G247" s="2"/>
      <c r="H247" s="123"/>
      <c r="I247" s="2"/>
      <c r="J247" s="2"/>
      <c r="K247" s="2"/>
      <c r="L247" s="2"/>
      <c r="M247" s="2"/>
      <c r="N247" s="2"/>
      <c r="O247" s="2"/>
      <c r="P247" s="2"/>
      <c r="Q247" s="2"/>
      <c r="R247" s="2"/>
      <c r="S247" s="2"/>
      <c r="T247" s="2"/>
    </row>
    <row r="248">
      <c r="A248" s="2"/>
      <c r="B248" s="2"/>
      <c r="C248" s="2"/>
      <c r="D248" s="2"/>
      <c r="E248" s="2"/>
      <c r="F248" s="2"/>
      <c r="G248" s="2"/>
      <c r="H248" s="123"/>
      <c r="I248" s="2"/>
      <c r="J248" s="2"/>
      <c r="K248" s="2"/>
      <c r="L248" s="2"/>
      <c r="M248" s="2"/>
      <c r="N248" s="2"/>
      <c r="O248" s="2"/>
      <c r="P248" s="2"/>
      <c r="Q248" s="2"/>
      <c r="R248" s="2"/>
      <c r="S248" s="2"/>
      <c r="T248" s="2"/>
    </row>
    <row r="249">
      <c r="A249" s="2"/>
      <c r="B249" s="2"/>
      <c r="C249" s="2"/>
      <c r="D249" s="2"/>
      <c r="E249" s="2"/>
      <c r="F249" s="2"/>
      <c r="G249" s="2"/>
      <c r="H249" s="123"/>
      <c r="I249" s="2"/>
      <c r="J249" s="2"/>
      <c r="K249" s="2"/>
      <c r="L249" s="2"/>
      <c r="M249" s="2"/>
      <c r="N249" s="2"/>
      <c r="O249" s="2"/>
      <c r="P249" s="2"/>
      <c r="Q249" s="2"/>
      <c r="R249" s="2"/>
      <c r="S249" s="2"/>
      <c r="T249" s="2"/>
    </row>
    <row r="250">
      <c r="A250" s="2"/>
      <c r="B250" s="2"/>
      <c r="C250" s="2"/>
      <c r="D250" s="2"/>
      <c r="E250" s="2"/>
      <c r="F250" s="2"/>
      <c r="G250" s="2"/>
      <c r="H250" s="123"/>
      <c r="I250" s="2"/>
      <c r="J250" s="2"/>
      <c r="K250" s="2"/>
      <c r="L250" s="2"/>
      <c r="M250" s="2"/>
      <c r="N250" s="2"/>
      <c r="O250" s="2"/>
      <c r="P250" s="2"/>
      <c r="Q250" s="2"/>
      <c r="R250" s="2"/>
      <c r="S250" s="2"/>
      <c r="T250" s="2"/>
    </row>
    <row r="251">
      <c r="A251" s="2"/>
      <c r="B251" s="2"/>
      <c r="C251" s="2"/>
      <c r="D251" s="2"/>
      <c r="E251" s="2"/>
      <c r="F251" s="2"/>
      <c r="G251" s="2"/>
      <c r="H251" s="123"/>
      <c r="I251" s="2"/>
      <c r="J251" s="2"/>
      <c r="K251" s="2"/>
      <c r="L251" s="2"/>
      <c r="M251" s="2"/>
      <c r="N251" s="2"/>
      <c r="O251" s="2"/>
      <c r="P251" s="2"/>
      <c r="Q251" s="2"/>
      <c r="R251" s="2"/>
      <c r="S251" s="2"/>
      <c r="T251" s="2"/>
    </row>
    <row r="252">
      <c r="A252" s="2"/>
      <c r="B252" s="2"/>
      <c r="C252" s="2"/>
      <c r="D252" s="2"/>
      <c r="E252" s="2"/>
      <c r="F252" s="2"/>
      <c r="G252" s="2"/>
      <c r="H252" s="123"/>
      <c r="I252" s="2"/>
      <c r="J252" s="2"/>
      <c r="K252" s="2"/>
      <c r="L252" s="2"/>
      <c r="M252" s="2"/>
      <c r="N252" s="2"/>
      <c r="O252" s="2"/>
      <c r="P252" s="2"/>
      <c r="Q252" s="2"/>
      <c r="R252" s="2"/>
      <c r="S252" s="2"/>
      <c r="T252" s="2"/>
    </row>
    <row r="253">
      <c r="H253" s="111"/>
    </row>
    <row r="254">
      <c r="H254" s="111"/>
    </row>
    <row r="255">
      <c r="H255" s="111"/>
    </row>
    <row r="256">
      <c r="H256" s="111"/>
    </row>
    <row r="257">
      <c r="H257" s="111"/>
    </row>
    <row r="258">
      <c r="H258" s="111"/>
    </row>
    <row r="259">
      <c r="H259" s="111"/>
    </row>
    <row r="260">
      <c r="H260" s="111"/>
    </row>
    <row r="261">
      <c r="H261" s="111"/>
    </row>
    <row r="262">
      <c r="H262" s="111"/>
    </row>
    <row r="263">
      <c r="H263" s="111"/>
    </row>
    <row r="264">
      <c r="H264" s="111"/>
    </row>
    <row r="265">
      <c r="H265" s="111"/>
    </row>
    <row r="266">
      <c r="H266" s="111"/>
    </row>
    <row r="267">
      <c r="H267" s="111"/>
    </row>
    <row r="268">
      <c r="H268" s="111"/>
    </row>
    <row r="269">
      <c r="H269" s="111"/>
    </row>
    <row r="270">
      <c r="H270" s="111"/>
    </row>
    <row r="271">
      <c r="H271" s="111"/>
    </row>
    <row r="272">
      <c r="H272" s="111"/>
    </row>
    <row r="273">
      <c r="H273" s="111"/>
    </row>
    <row r="274">
      <c r="H274" s="111"/>
    </row>
    <row r="275">
      <c r="H275" s="111"/>
    </row>
    <row r="276">
      <c r="H276" s="111"/>
    </row>
    <row r="277">
      <c r="H277" s="111"/>
    </row>
    <row r="278">
      <c r="H278" s="111"/>
    </row>
    <row r="279">
      <c r="H279" s="111"/>
    </row>
    <row r="280">
      <c r="H280" s="111"/>
    </row>
    <row r="281">
      <c r="H281" s="111"/>
    </row>
    <row r="282">
      <c r="H282" s="111"/>
    </row>
    <row r="283">
      <c r="H283" s="111"/>
    </row>
    <row r="284">
      <c r="H284" s="111"/>
    </row>
    <row r="285">
      <c r="H285" s="111"/>
    </row>
    <row r="286">
      <c r="H286" s="111"/>
    </row>
    <row r="287">
      <c r="H287" s="111"/>
    </row>
    <row r="288">
      <c r="H288" s="111"/>
    </row>
    <row r="289">
      <c r="H289" s="111"/>
    </row>
    <row r="290">
      <c r="H290" s="111"/>
    </row>
    <row r="291">
      <c r="H291" s="111"/>
    </row>
    <row r="292">
      <c r="H292" s="111"/>
    </row>
    <row r="293">
      <c r="H293" s="111"/>
    </row>
    <row r="294">
      <c r="H294" s="111"/>
    </row>
    <row r="295">
      <c r="H295" s="111"/>
    </row>
    <row r="296">
      <c r="H296" s="111"/>
    </row>
    <row r="297">
      <c r="H297" s="111"/>
    </row>
    <row r="298">
      <c r="H298" s="111"/>
    </row>
    <row r="299">
      <c r="H299" s="111"/>
    </row>
    <row r="300">
      <c r="H300" s="111"/>
    </row>
    <row r="301">
      <c r="H301" s="111"/>
    </row>
    <row r="302">
      <c r="H302" s="111"/>
    </row>
    <row r="303">
      <c r="H303" s="111"/>
    </row>
    <row r="304">
      <c r="H304" s="111"/>
    </row>
    <row r="305">
      <c r="H305" s="111"/>
    </row>
    <row r="306">
      <c r="H306" s="111"/>
    </row>
    <row r="307">
      <c r="H307" s="111"/>
    </row>
    <row r="308">
      <c r="H308" s="111"/>
    </row>
    <row r="309">
      <c r="H309" s="111"/>
    </row>
    <row r="310">
      <c r="H310" s="111"/>
    </row>
    <row r="311">
      <c r="H311" s="111"/>
    </row>
    <row r="312">
      <c r="H312" s="111"/>
    </row>
    <row r="313">
      <c r="H313" s="111"/>
    </row>
    <row r="314">
      <c r="H314" s="111"/>
    </row>
    <row r="315">
      <c r="H315" s="111"/>
    </row>
    <row r="316">
      <c r="H316" s="111"/>
    </row>
    <row r="317">
      <c r="H317" s="111"/>
    </row>
    <row r="318">
      <c r="H318" s="111"/>
    </row>
    <row r="319">
      <c r="H319" s="111"/>
    </row>
    <row r="320">
      <c r="H320" s="111"/>
    </row>
    <row r="321">
      <c r="H321" s="111"/>
    </row>
    <row r="322">
      <c r="H322" s="111"/>
    </row>
    <row r="323">
      <c r="H323" s="111"/>
    </row>
    <row r="324">
      <c r="H324" s="111"/>
    </row>
    <row r="325">
      <c r="H325" s="111"/>
    </row>
    <row r="326">
      <c r="H326" s="111"/>
    </row>
    <row r="327">
      <c r="H327" s="111"/>
    </row>
    <row r="328">
      <c r="H328" s="111"/>
    </row>
    <row r="329">
      <c r="H329" s="111"/>
    </row>
    <row r="330">
      <c r="H330" s="111"/>
    </row>
    <row r="331">
      <c r="H331" s="111"/>
    </row>
    <row r="332">
      <c r="H332" s="111"/>
    </row>
    <row r="333">
      <c r="H333" s="111"/>
    </row>
    <row r="334">
      <c r="H334" s="111"/>
    </row>
    <row r="335">
      <c r="H335" s="111"/>
    </row>
    <row r="336">
      <c r="H336" s="111"/>
    </row>
    <row r="337">
      <c r="H337" s="111"/>
    </row>
    <row r="338">
      <c r="H338" s="111"/>
    </row>
    <row r="339">
      <c r="H339" s="111"/>
    </row>
    <row r="340">
      <c r="H340" s="111"/>
    </row>
    <row r="341">
      <c r="H341" s="111"/>
    </row>
    <row r="342">
      <c r="H342" s="111"/>
    </row>
    <row r="343">
      <c r="H343" s="111"/>
    </row>
    <row r="344">
      <c r="H344" s="111"/>
    </row>
    <row r="345">
      <c r="H345" s="111"/>
    </row>
    <row r="346">
      <c r="H346" s="111"/>
    </row>
    <row r="347">
      <c r="H347" s="111"/>
    </row>
    <row r="348">
      <c r="H348" s="111"/>
    </row>
    <row r="349">
      <c r="H349" s="111"/>
    </row>
    <row r="350">
      <c r="H350" s="111"/>
    </row>
    <row r="351">
      <c r="H351" s="111"/>
    </row>
    <row r="352">
      <c r="H352" s="111"/>
    </row>
    <row r="353">
      <c r="H353" s="111"/>
    </row>
    <row r="354">
      <c r="H354" s="111"/>
    </row>
    <row r="355">
      <c r="H355" s="111"/>
    </row>
    <row r="356">
      <c r="H356" s="111"/>
    </row>
    <row r="357">
      <c r="H357" s="111"/>
    </row>
    <row r="358">
      <c r="H358" s="111"/>
    </row>
    <row r="359">
      <c r="H359" s="111"/>
    </row>
    <row r="360">
      <c r="H360" s="111"/>
    </row>
    <row r="361">
      <c r="H361" s="111"/>
    </row>
    <row r="362">
      <c r="H362" s="111"/>
    </row>
    <row r="363">
      <c r="H363" s="111"/>
    </row>
    <row r="364">
      <c r="H364" s="111"/>
    </row>
    <row r="365">
      <c r="H365" s="111"/>
    </row>
    <row r="366">
      <c r="H366" s="111"/>
    </row>
    <row r="367">
      <c r="H367" s="111"/>
    </row>
    <row r="368">
      <c r="H368" s="111"/>
    </row>
    <row r="369">
      <c r="H369" s="111"/>
    </row>
    <row r="370">
      <c r="H370" s="111"/>
    </row>
    <row r="371">
      <c r="H371" s="111"/>
    </row>
    <row r="372">
      <c r="H372" s="111"/>
    </row>
    <row r="373">
      <c r="H373" s="111"/>
    </row>
    <row r="374">
      <c r="H374" s="111"/>
    </row>
    <row r="375">
      <c r="H375" s="111"/>
    </row>
    <row r="376">
      <c r="H376" s="111"/>
    </row>
    <row r="377">
      <c r="H377" s="111"/>
    </row>
    <row r="378">
      <c r="H378" s="111"/>
    </row>
    <row r="379">
      <c r="H379" s="111"/>
    </row>
    <row r="380">
      <c r="H380" s="111"/>
    </row>
    <row r="381">
      <c r="H381" s="111"/>
    </row>
    <row r="382">
      <c r="H382" s="111"/>
    </row>
    <row r="383">
      <c r="H383" s="111"/>
    </row>
    <row r="384">
      <c r="H384" s="111"/>
    </row>
    <row r="385">
      <c r="H385" s="111"/>
    </row>
    <row r="386">
      <c r="H386" s="111"/>
    </row>
    <row r="387">
      <c r="H387" s="111"/>
    </row>
    <row r="388">
      <c r="H388" s="111"/>
    </row>
    <row r="389">
      <c r="H389" s="111"/>
    </row>
    <row r="390">
      <c r="H390" s="111"/>
    </row>
    <row r="391">
      <c r="H391" s="111"/>
    </row>
    <row r="392">
      <c r="H392" s="111"/>
    </row>
    <row r="393">
      <c r="H393" s="111"/>
    </row>
    <row r="394">
      <c r="H394" s="111"/>
    </row>
    <row r="395">
      <c r="H395" s="111"/>
    </row>
    <row r="396">
      <c r="H396" s="111"/>
    </row>
    <row r="397">
      <c r="H397" s="111"/>
    </row>
    <row r="398">
      <c r="H398" s="111"/>
    </row>
    <row r="399">
      <c r="H399" s="111"/>
    </row>
    <row r="400">
      <c r="H400" s="111"/>
    </row>
    <row r="401">
      <c r="H401" s="111"/>
    </row>
    <row r="402">
      <c r="H402" s="111"/>
    </row>
    <row r="403">
      <c r="H403" s="111"/>
    </row>
    <row r="404">
      <c r="H404" s="111"/>
    </row>
    <row r="405">
      <c r="H405" s="111"/>
    </row>
    <row r="406">
      <c r="H406" s="111"/>
    </row>
    <row r="407">
      <c r="H407" s="111"/>
    </row>
    <row r="408">
      <c r="H408" s="111"/>
    </row>
    <row r="409">
      <c r="H409" s="111"/>
    </row>
    <row r="410">
      <c r="H410" s="111"/>
    </row>
    <row r="411">
      <c r="H411" s="111"/>
    </row>
    <row r="412">
      <c r="H412" s="111"/>
    </row>
    <row r="413">
      <c r="H413" s="111"/>
    </row>
    <row r="414">
      <c r="H414" s="111"/>
    </row>
    <row r="415">
      <c r="H415" s="111"/>
    </row>
    <row r="416">
      <c r="H416" s="111"/>
    </row>
    <row r="417">
      <c r="H417" s="111"/>
    </row>
    <row r="418">
      <c r="H418" s="111"/>
    </row>
    <row r="419">
      <c r="H419" s="111"/>
    </row>
    <row r="420">
      <c r="H420" s="111"/>
    </row>
    <row r="421">
      <c r="H421" s="111"/>
    </row>
    <row r="422">
      <c r="H422" s="111"/>
    </row>
    <row r="423">
      <c r="H423" s="111"/>
    </row>
    <row r="424">
      <c r="H424" s="111"/>
    </row>
    <row r="425">
      <c r="H425" s="111"/>
    </row>
    <row r="426">
      <c r="H426" s="111"/>
    </row>
    <row r="427">
      <c r="H427" s="111"/>
    </row>
    <row r="428">
      <c r="H428" s="111"/>
    </row>
    <row r="429">
      <c r="H429" s="111"/>
    </row>
    <row r="430">
      <c r="H430" s="111"/>
    </row>
    <row r="431">
      <c r="H431" s="111"/>
    </row>
    <row r="432">
      <c r="H432" s="111"/>
    </row>
    <row r="433">
      <c r="H433" s="111"/>
    </row>
    <row r="434">
      <c r="H434" s="111"/>
    </row>
    <row r="435">
      <c r="H435" s="111"/>
    </row>
    <row r="436">
      <c r="H436" s="111"/>
    </row>
    <row r="437">
      <c r="H437" s="111"/>
    </row>
    <row r="438">
      <c r="H438" s="111"/>
    </row>
    <row r="439">
      <c r="H439" s="111"/>
    </row>
    <row r="440">
      <c r="H440" s="111"/>
    </row>
    <row r="441">
      <c r="H441" s="111"/>
    </row>
    <row r="442">
      <c r="H442" s="111"/>
    </row>
    <row r="443">
      <c r="H443" s="111"/>
    </row>
    <row r="444">
      <c r="H444" s="111"/>
    </row>
    <row r="445">
      <c r="H445" s="111"/>
    </row>
    <row r="446">
      <c r="H446" s="111"/>
    </row>
    <row r="447">
      <c r="H447" s="111"/>
    </row>
    <row r="448">
      <c r="H448" s="111"/>
    </row>
    <row r="449">
      <c r="H449" s="111"/>
    </row>
    <row r="450">
      <c r="H450" s="111"/>
    </row>
    <row r="451">
      <c r="H451" s="111"/>
    </row>
    <row r="452">
      <c r="H452" s="111"/>
    </row>
    <row r="453">
      <c r="H453" s="111"/>
    </row>
    <row r="454">
      <c r="H454" s="111"/>
    </row>
    <row r="455">
      <c r="H455" s="111"/>
    </row>
    <row r="456">
      <c r="H456" s="111"/>
    </row>
    <row r="457">
      <c r="H457" s="111"/>
    </row>
    <row r="458">
      <c r="H458" s="111"/>
    </row>
    <row r="459">
      <c r="H459" s="111"/>
    </row>
    <row r="460">
      <c r="H460" s="111"/>
    </row>
    <row r="461">
      <c r="H461" s="111"/>
    </row>
    <row r="462">
      <c r="H462" s="111"/>
    </row>
    <row r="463">
      <c r="H463" s="111"/>
    </row>
    <row r="464">
      <c r="H464" s="111"/>
    </row>
    <row r="465">
      <c r="H465" s="111"/>
    </row>
    <row r="466">
      <c r="H466" s="111"/>
    </row>
    <row r="467">
      <c r="H467" s="111"/>
    </row>
    <row r="468">
      <c r="H468" s="111"/>
    </row>
    <row r="469">
      <c r="H469" s="111"/>
    </row>
    <row r="470">
      <c r="H470" s="111"/>
    </row>
    <row r="471">
      <c r="H471" s="111"/>
    </row>
    <row r="472">
      <c r="H472" s="111"/>
    </row>
    <row r="473">
      <c r="H473" s="111"/>
    </row>
    <row r="474">
      <c r="H474" s="111"/>
    </row>
    <row r="475">
      <c r="H475" s="111"/>
    </row>
    <row r="476">
      <c r="H476" s="111"/>
    </row>
    <row r="477">
      <c r="H477" s="111"/>
    </row>
    <row r="478">
      <c r="H478" s="111"/>
    </row>
    <row r="479">
      <c r="H479" s="111"/>
    </row>
    <row r="480">
      <c r="H480" s="111"/>
    </row>
    <row r="481">
      <c r="H481" s="111"/>
    </row>
    <row r="482">
      <c r="H482" s="111"/>
    </row>
    <row r="483">
      <c r="H483" s="111"/>
    </row>
    <row r="484">
      <c r="H484" s="111"/>
    </row>
    <row r="485">
      <c r="H485" s="111"/>
    </row>
    <row r="486">
      <c r="H486" s="111"/>
    </row>
    <row r="487">
      <c r="H487" s="111"/>
    </row>
    <row r="488">
      <c r="H488" s="111"/>
    </row>
    <row r="489">
      <c r="H489" s="111"/>
    </row>
    <row r="490">
      <c r="H490" s="111"/>
    </row>
    <row r="491">
      <c r="H491" s="111"/>
    </row>
    <row r="492">
      <c r="H492" s="111"/>
    </row>
    <row r="493">
      <c r="H493" s="111"/>
    </row>
    <row r="494">
      <c r="H494" s="111"/>
    </row>
    <row r="495">
      <c r="H495" s="111"/>
    </row>
    <row r="496">
      <c r="H496" s="111"/>
    </row>
    <row r="497">
      <c r="H497" s="111"/>
    </row>
    <row r="498">
      <c r="H498" s="111"/>
    </row>
    <row r="499">
      <c r="H499" s="111"/>
    </row>
    <row r="500">
      <c r="H500" s="111"/>
    </row>
    <row r="501">
      <c r="H501" s="111"/>
    </row>
    <row r="502">
      <c r="H502" s="111"/>
    </row>
    <row r="503">
      <c r="H503" s="111"/>
    </row>
    <row r="504">
      <c r="H504" s="111"/>
    </row>
    <row r="505">
      <c r="H505" s="111"/>
    </row>
    <row r="506">
      <c r="H506" s="111"/>
    </row>
    <row r="507">
      <c r="H507" s="111"/>
    </row>
    <row r="508">
      <c r="H508" s="111"/>
    </row>
    <row r="509">
      <c r="H509" s="111"/>
    </row>
    <row r="510">
      <c r="H510" s="111"/>
    </row>
    <row r="511">
      <c r="H511" s="111"/>
    </row>
    <row r="512">
      <c r="H512" s="111"/>
    </row>
    <row r="513">
      <c r="H513" s="111"/>
    </row>
    <row r="514">
      <c r="H514" s="111"/>
    </row>
    <row r="515">
      <c r="H515" s="111"/>
    </row>
    <row r="516">
      <c r="H516" s="111"/>
    </row>
    <row r="517">
      <c r="H517" s="111"/>
    </row>
    <row r="518">
      <c r="H518" s="111"/>
    </row>
    <row r="519">
      <c r="H519" s="111"/>
    </row>
    <row r="520">
      <c r="H520" s="111"/>
    </row>
    <row r="521">
      <c r="H521" s="111"/>
    </row>
    <row r="522">
      <c r="H522" s="111"/>
    </row>
    <row r="523">
      <c r="H523" s="111"/>
    </row>
    <row r="524">
      <c r="H524" s="111"/>
    </row>
    <row r="525">
      <c r="H525" s="111"/>
    </row>
    <row r="526">
      <c r="H526" s="111"/>
    </row>
    <row r="527">
      <c r="H527" s="111"/>
    </row>
    <row r="528">
      <c r="H528" s="111"/>
    </row>
    <row r="529">
      <c r="H529" s="111"/>
    </row>
    <row r="530">
      <c r="H530" s="111"/>
    </row>
    <row r="531">
      <c r="H531" s="111"/>
    </row>
    <row r="532">
      <c r="H532" s="111"/>
    </row>
    <row r="533">
      <c r="H533" s="111"/>
    </row>
    <row r="534">
      <c r="H534" s="111"/>
    </row>
    <row r="535">
      <c r="H535" s="111"/>
    </row>
    <row r="536">
      <c r="H536" s="111"/>
    </row>
    <row r="537">
      <c r="H537" s="111"/>
    </row>
    <row r="538">
      <c r="H538" s="111"/>
    </row>
    <row r="539">
      <c r="H539" s="111"/>
    </row>
    <row r="540">
      <c r="H540" s="111"/>
    </row>
    <row r="541">
      <c r="H541" s="111"/>
    </row>
    <row r="542">
      <c r="H542" s="111"/>
    </row>
    <row r="543">
      <c r="H543" s="111"/>
    </row>
    <row r="544">
      <c r="H544" s="111"/>
    </row>
    <row r="545">
      <c r="H545" s="111"/>
    </row>
    <row r="546">
      <c r="H546" s="111"/>
    </row>
    <row r="547">
      <c r="H547" s="111"/>
    </row>
    <row r="548">
      <c r="H548" s="111"/>
    </row>
    <row r="549">
      <c r="H549" s="111"/>
    </row>
    <row r="550">
      <c r="H550" s="111"/>
    </row>
    <row r="551">
      <c r="H551" s="111"/>
    </row>
    <row r="552">
      <c r="H552" s="111"/>
    </row>
    <row r="553">
      <c r="H553" s="111"/>
    </row>
    <row r="554">
      <c r="H554" s="111"/>
    </row>
    <row r="555">
      <c r="H555" s="111"/>
    </row>
    <row r="556">
      <c r="H556" s="111"/>
    </row>
    <row r="557">
      <c r="H557" s="111"/>
    </row>
    <row r="558">
      <c r="H558" s="111"/>
    </row>
    <row r="559">
      <c r="H559" s="111"/>
    </row>
    <row r="560">
      <c r="H560" s="111"/>
    </row>
    <row r="561">
      <c r="H561" s="111"/>
    </row>
    <row r="562">
      <c r="H562" s="111"/>
    </row>
    <row r="563">
      <c r="H563" s="111"/>
    </row>
    <row r="564">
      <c r="H564" s="111"/>
    </row>
    <row r="565">
      <c r="H565" s="111"/>
    </row>
    <row r="566">
      <c r="H566" s="111"/>
    </row>
    <row r="567">
      <c r="H567" s="111"/>
    </row>
    <row r="568">
      <c r="H568" s="111"/>
    </row>
    <row r="569">
      <c r="H569" s="111"/>
    </row>
    <row r="570">
      <c r="H570" s="111"/>
    </row>
    <row r="571">
      <c r="H571" s="111"/>
    </row>
    <row r="572">
      <c r="H572" s="111"/>
    </row>
    <row r="573">
      <c r="H573" s="111"/>
    </row>
    <row r="574">
      <c r="H574" s="111"/>
    </row>
    <row r="575">
      <c r="H575" s="111"/>
    </row>
    <row r="576">
      <c r="H576" s="111"/>
    </row>
    <row r="577">
      <c r="H577" s="111"/>
    </row>
    <row r="578">
      <c r="H578" s="111"/>
    </row>
    <row r="579">
      <c r="H579" s="111"/>
    </row>
    <row r="580">
      <c r="H580" s="111"/>
    </row>
    <row r="581">
      <c r="H581" s="111"/>
    </row>
    <row r="582">
      <c r="H582" s="111"/>
    </row>
    <row r="583">
      <c r="H583" s="111"/>
    </row>
    <row r="584">
      <c r="H584" s="111"/>
    </row>
    <row r="585">
      <c r="H585" s="111"/>
    </row>
    <row r="586">
      <c r="H586" s="111"/>
    </row>
    <row r="587">
      <c r="H587" s="111"/>
    </row>
    <row r="588">
      <c r="H588" s="111"/>
    </row>
    <row r="589">
      <c r="H589" s="111"/>
    </row>
    <row r="590">
      <c r="H590" s="111"/>
    </row>
    <row r="591">
      <c r="H591" s="111"/>
    </row>
    <row r="592">
      <c r="H592" s="111"/>
    </row>
    <row r="593">
      <c r="H593" s="111"/>
    </row>
    <row r="594">
      <c r="H594" s="111"/>
    </row>
    <row r="595">
      <c r="H595" s="111"/>
    </row>
    <row r="596">
      <c r="H596" s="111"/>
    </row>
    <row r="597">
      <c r="H597" s="111"/>
    </row>
    <row r="598">
      <c r="H598" s="111"/>
    </row>
    <row r="599">
      <c r="H599" s="111"/>
    </row>
    <row r="600">
      <c r="H600" s="111"/>
    </row>
    <row r="601">
      <c r="H601" s="111"/>
    </row>
    <row r="602">
      <c r="H602" s="111"/>
    </row>
    <row r="603">
      <c r="H603" s="111"/>
    </row>
    <row r="604">
      <c r="H604" s="111"/>
    </row>
    <row r="605">
      <c r="H605" s="111"/>
    </row>
    <row r="606">
      <c r="H606" s="111"/>
    </row>
    <row r="607">
      <c r="H607" s="111"/>
    </row>
    <row r="608">
      <c r="H608" s="111"/>
    </row>
    <row r="609">
      <c r="H609" s="111"/>
    </row>
    <row r="610">
      <c r="H610" s="111"/>
    </row>
    <row r="611">
      <c r="H611" s="111"/>
    </row>
    <row r="612">
      <c r="H612" s="111"/>
    </row>
    <row r="613">
      <c r="H613" s="111"/>
    </row>
    <row r="614">
      <c r="H614" s="111"/>
    </row>
    <row r="615">
      <c r="H615" s="111"/>
    </row>
    <row r="616">
      <c r="H616" s="111"/>
    </row>
    <row r="617">
      <c r="H617" s="111"/>
    </row>
    <row r="618">
      <c r="H618" s="111"/>
    </row>
    <row r="619">
      <c r="H619" s="111"/>
    </row>
    <row r="620">
      <c r="H620" s="111"/>
    </row>
    <row r="621">
      <c r="H621" s="111"/>
    </row>
    <row r="622">
      <c r="H622" s="111"/>
    </row>
    <row r="623">
      <c r="H623" s="111"/>
    </row>
    <row r="624">
      <c r="H624" s="111"/>
    </row>
    <row r="625">
      <c r="H625" s="111"/>
    </row>
    <row r="626">
      <c r="H626" s="111"/>
    </row>
    <row r="627">
      <c r="H627" s="111"/>
    </row>
    <row r="628">
      <c r="H628" s="111"/>
    </row>
    <row r="629">
      <c r="H629" s="111"/>
    </row>
    <row r="630">
      <c r="H630" s="111"/>
    </row>
    <row r="631">
      <c r="H631" s="111"/>
    </row>
    <row r="632">
      <c r="H632" s="111"/>
    </row>
    <row r="633">
      <c r="H633" s="111"/>
    </row>
    <row r="634">
      <c r="H634" s="111"/>
    </row>
    <row r="635">
      <c r="H635" s="111"/>
    </row>
    <row r="636">
      <c r="H636" s="111"/>
    </row>
    <row r="637">
      <c r="H637" s="111"/>
    </row>
    <row r="638">
      <c r="H638" s="111"/>
    </row>
    <row r="639">
      <c r="H639" s="111"/>
    </row>
    <row r="640">
      <c r="H640" s="111"/>
    </row>
    <row r="641">
      <c r="H641" s="111"/>
    </row>
    <row r="642">
      <c r="H642" s="111"/>
    </row>
    <row r="643">
      <c r="H643" s="111"/>
    </row>
    <row r="644">
      <c r="H644" s="111"/>
    </row>
    <row r="645">
      <c r="H645" s="111"/>
    </row>
    <row r="646">
      <c r="H646" s="111"/>
    </row>
    <row r="647">
      <c r="H647" s="111"/>
    </row>
    <row r="648">
      <c r="H648" s="111"/>
    </row>
    <row r="649">
      <c r="H649" s="111"/>
    </row>
    <row r="650">
      <c r="H650" s="111"/>
    </row>
    <row r="651">
      <c r="H651" s="111"/>
    </row>
    <row r="652">
      <c r="H652" s="111"/>
    </row>
    <row r="653">
      <c r="H653" s="111"/>
    </row>
    <row r="654">
      <c r="H654" s="111"/>
    </row>
    <row r="655">
      <c r="H655" s="111"/>
    </row>
    <row r="656">
      <c r="H656" s="111"/>
    </row>
    <row r="657">
      <c r="H657" s="111"/>
    </row>
    <row r="658">
      <c r="H658" s="111"/>
    </row>
    <row r="659">
      <c r="H659" s="111"/>
    </row>
    <row r="660">
      <c r="H660" s="111"/>
    </row>
    <row r="661">
      <c r="H661" s="111"/>
    </row>
    <row r="662">
      <c r="H662" s="111"/>
    </row>
    <row r="663">
      <c r="H663" s="111"/>
    </row>
    <row r="664">
      <c r="H664" s="111"/>
    </row>
    <row r="665">
      <c r="H665" s="111"/>
    </row>
    <row r="666">
      <c r="H666" s="111"/>
    </row>
    <row r="667">
      <c r="H667" s="111"/>
    </row>
    <row r="668">
      <c r="H668" s="111"/>
    </row>
    <row r="669">
      <c r="H669" s="111"/>
    </row>
    <row r="670">
      <c r="H670" s="111"/>
    </row>
    <row r="671">
      <c r="H671" s="111"/>
    </row>
    <row r="672">
      <c r="H672" s="111"/>
    </row>
    <row r="673">
      <c r="H673" s="111"/>
    </row>
    <row r="674">
      <c r="H674" s="111"/>
    </row>
    <row r="675">
      <c r="H675" s="111"/>
    </row>
    <row r="676">
      <c r="H676" s="111"/>
    </row>
    <row r="677">
      <c r="H677" s="111"/>
    </row>
    <row r="678">
      <c r="H678" s="111"/>
    </row>
    <row r="679">
      <c r="H679" s="111"/>
    </row>
    <row r="680">
      <c r="H680" s="111"/>
    </row>
    <row r="681">
      <c r="H681" s="111"/>
    </row>
    <row r="682">
      <c r="H682" s="111"/>
    </row>
    <row r="683">
      <c r="H683" s="111"/>
    </row>
    <row r="684">
      <c r="H684" s="111"/>
    </row>
    <row r="685">
      <c r="H685" s="111"/>
    </row>
    <row r="686">
      <c r="H686" s="111"/>
    </row>
    <row r="687">
      <c r="H687" s="111"/>
    </row>
    <row r="688">
      <c r="H688" s="111"/>
    </row>
    <row r="689">
      <c r="H689" s="111"/>
    </row>
    <row r="690">
      <c r="H690" s="111"/>
    </row>
    <row r="691">
      <c r="H691" s="111"/>
    </row>
    <row r="692">
      <c r="H692" s="111"/>
    </row>
    <row r="693">
      <c r="H693" s="111"/>
    </row>
    <row r="694">
      <c r="H694" s="111"/>
    </row>
    <row r="695">
      <c r="H695" s="111"/>
    </row>
    <row r="696">
      <c r="H696" s="111"/>
    </row>
    <row r="697">
      <c r="H697" s="111"/>
    </row>
    <row r="698">
      <c r="H698" s="111"/>
    </row>
    <row r="699">
      <c r="H699" s="111"/>
    </row>
    <row r="700">
      <c r="H700" s="111"/>
    </row>
    <row r="701">
      <c r="H701" s="111"/>
    </row>
    <row r="702">
      <c r="H702" s="111"/>
    </row>
    <row r="703">
      <c r="H703" s="111"/>
    </row>
    <row r="704">
      <c r="H704" s="111"/>
    </row>
    <row r="705">
      <c r="H705" s="111"/>
    </row>
    <row r="706">
      <c r="H706" s="111"/>
    </row>
    <row r="707">
      <c r="H707" s="111"/>
    </row>
    <row r="708">
      <c r="H708" s="111"/>
    </row>
    <row r="709">
      <c r="H709" s="111"/>
    </row>
    <row r="710">
      <c r="H710" s="111"/>
    </row>
    <row r="711">
      <c r="H711" s="111"/>
    </row>
    <row r="712">
      <c r="H712" s="111"/>
    </row>
    <row r="713">
      <c r="H713" s="111"/>
    </row>
    <row r="714">
      <c r="H714" s="111"/>
    </row>
    <row r="715">
      <c r="H715" s="111"/>
    </row>
    <row r="716">
      <c r="H716" s="111"/>
    </row>
    <row r="717">
      <c r="H717" s="111"/>
    </row>
    <row r="718">
      <c r="H718" s="111"/>
    </row>
    <row r="719">
      <c r="H719" s="111"/>
    </row>
    <row r="720">
      <c r="H720" s="111"/>
    </row>
    <row r="721">
      <c r="H721" s="111"/>
    </row>
    <row r="722">
      <c r="H722" s="111"/>
    </row>
    <row r="723">
      <c r="H723" s="111"/>
    </row>
    <row r="724">
      <c r="H724" s="111"/>
    </row>
    <row r="725">
      <c r="H725" s="111"/>
    </row>
    <row r="726">
      <c r="H726" s="111"/>
    </row>
    <row r="727">
      <c r="H727" s="111"/>
    </row>
    <row r="728">
      <c r="H728" s="111"/>
    </row>
    <row r="729">
      <c r="H729" s="111"/>
    </row>
    <row r="730">
      <c r="H730" s="111"/>
    </row>
    <row r="731">
      <c r="H731" s="111"/>
    </row>
    <row r="732">
      <c r="H732" s="111"/>
    </row>
    <row r="733">
      <c r="H733" s="111"/>
    </row>
    <row r="734">
      <c r="H734" s="111"/>
    </row>
    <row r="735">
      <c r="H735" s="111"/>
    </row>
    <row r="736">
      <c r="H736" s="111"/>
    </row>
    <row r="737">
      <c r="H737" s="111"/>
    </row>
    <row r="738">
      <c r="H738" s="111"/>
    </row>
    <row r="739">
      <c r="H739" s="111"/>
    </row>
    <row r="740">
      <c r="H740" s="111"/>
    </row>
    <row r="741">
      <c r="H741" s="111"/>
    </row>
    <row r="742">
      <c r="H742" s="111"/>
    </row>
    <row r="743">
      <c r="H743" s="111"/>
    </row>
    <row r="744">
      <c r="H744" s="111"/>
    </row>
    <row r="745">
      <c r="H745" s="111"/>
    </row>
    <row r="746">
      <c r="H746" s="111"/>
    </row>
    <row r="747">
      <c r="H747" s="111"/>
    </row>
    <row r="748">
      <c r="H748" s="111"/>
    </row>
    <row r="749">
      <c r="H749" s="111"/>
    </row>
    <row r="750">
      <c r="H750" s="111"/>
    </row>
    <row r="751">
      <c r="H751" s="111"/>
    </row>
    <row r="752">
      <c r="H752" s="111"/>
    </row>
    <row r="753">
      <c r="H753" s="111"/>
    </row>
    <row r="754">
      <c r="H754" s="111"/>
    </row>
    <row r="755">
      <c r="H755" s="111"/>
    </row>
    <row r="756">
      <c r="H756" s="111"/>
    </row>
    <row r="757">
      <c r="H757" s="111"/>
    </row>
    <row r="758">
      <c r="H758" s="111"/>
    </row>
    <row r="759">
      <c r="H759" s="111"/>
    </row>
    <row r="760">
      <c r="H760" s="111"/>
    </row>
    <row r="761">
      <c r="H761" s="111"/>
    </row>
    <row r="762">
      <c r="H762" s="111"/>
    </row>
    <row r="763">
      <c r="H763" s="111"/>
    </row>
    <row r="764">
      <c r="H764" s="111"/>
    </row>
    <row r="765">
      <c r="H765" s="111"/>
    </row>
    <row r="766">
      <c r="H766" s="111"/>
    </row>
    <row r="767">
      <c r="H767" s="111"/>
    </row>
    <row r="768">
      <c r="H768" s="111"/>
    </row>
    <row r="769">
      <c r="H769" s="111"/>
    </row>
    <row r="770">
      <c r="H770" s="111"/>
    </row>
    <row r="771">
      <c r="H771" s="111"/>
    </row>
    <row r="772">
      <c r="H772" s="111"/>
    </row>
    <row r="773">
      <c r="H773" s="111"/>
    </row>
    <row r="774">
      <c r="H774" s="111"/>
    </row>
    <row r="775">
      <c r="H775" s="111"/>
    </row>
    <row r="776">
      <c r="H776" s="111"/>
    </row>
    <row r="777">
      <c r="H777" s="111"/>
    </row>
    <row r="778">
      <c r="H778" s="111"/>
    </row>
    <row r="779">
      <c r="H779" s="111"/>
    </row>
    <row r="780">
      <c r="H780" s="111"/>
    </row>
    <row r="781">
      <c r="H781" s="111"/>
    </row>
    <row r="782">
      <c r="H782" s="111"/>
    </row>
    <row r="783">
      <c r="H783" s="111"/>
    </row>
    <row r="784">
      <c r="H784" s="111"/>
    </row>
    <row r="785">
      <c r="H785" s="111"/>
    </row>
    <row r="786">
      <c r="H786" s="111"/>
    </row>
    <row r="787">
      <c r="H787" s="111"/>
    </row>
    <row r="788">
      <c r="H788" s="111"/>
    </row>
    <row r="789">
      <c r="H789" s="111"/>
    </row>
    <row r="790">
      <c r="H790" s="111"/>
    </row>
    <row r="791">
      <c r="H791" s="111"/>
    </row>
    <row r="792">
      <c r="H792" s="111"/>
    </row>
    <row r="793">
      <c r="H793" s="111"/>
    </row>
    <row r="794">
      <c r="H794" s="111"/>
    </row>
    <row r="795">
      <c r="H795" s="111"/>
    </row>
    <row r="796">
      <c r="H796" s="111"/>
    </row>
    <row r="797">
      <c r="H797" s="111"/>
    </row>
    <row r="798">
      <c r="H798" s="111"/>
    </row>
    <row r="799">
      <c r="H799" s="111"/>
    </row>
    <row r="800">
      <c r="H800" s="111"/>
    </row>
    <row r="801">
      <c r="H801" s="111"/>
    </row>
    <row r="802">
      <c r="H802" s="111"/>
    </row>
    <row r="803">
      <c r="H803" s="111"/>
    </row>
    <row r="804">
      <c r="H804" s="111"/>
    </row>
    <row r="805">
      <c r="H805" s="111"/>
    </row>
    <row r="806">
      <c r="H806" s="111"/>
    </row>
    <row r="807">
      <c r="H807" s="111"/>
    </row>
    <row r="808">
      <c r="H808" s="111"/>
    </row>
    <row r="809">
      <c r="H809" s="111"/>
    </row>
    <row r="810">
      <c r="H810" s="111"/>
    </row>
    <row r="811">
      <c r="H811" s="111"/>
    </row>
    <row r="812">
      <c r="H812" s="111"/>
    </row>
    <row r="813">
      <c r="H813" s="111"/>
    </row>
    <row r="814">
      <c r="H814" s="111"/>
    </row>
    <row r="815">
      <c r="H815" s="111"/>
    </row>
    <row r="816">
      <c r="H816" s="111"/>
    </row>
    <row r="817">
      <c r="H817" s="111"/>
    </row>
    <row r="818">
      <c r="H818" s="111"/>
    </row>
    <row r="819">
      <c r="H819" s="111"/>
    </row>
    <row r="820">
      <c r="H820" s="111"/>
    </row>
    <row r="821">
      <c r="H821" s="111"/>
    </row>
    <row r="822">
      <c r="H822" s="111"/>
    </row>
    <row r="823">
      <c r="H823" s="111"/>
    </row>
    <row r="824">
      <c r="H824" s="111"/>
    </row>
    <row r="825">
      <c r="H825" s="111"/>
    </row>
    <row r="826">
      <c r="H826" s="111"/>
    </row>
    <row r="827">
      <c r="H827" s="111"/>
    </row>
    <row r="828">
      <c r="H828" s="111"/>
    </row>
    <row r="829">
      <c r="H829" s="111"/>
    </row>
    <row r="830">
      <c r="H830" s="111"/>
    </row>
    <row r="831">
      <c r="H831" s="111"/>
    </row>
    <row r="832">
      <c r="H832" s="111"/>
    </row>
    <row r="833">
      <c r="H833" s="111"/>
    </row>
    <row r="834">
      <c r="H834" s="111"/>
    </row>
    <row r="835">
      <c r="H835" s="111"/>
    </row>
    <row r="836">
      <c r="H836" s="111"/>
    </row>
    <row r="837">
      <c r="H837" s="111"/>
    </row>
    <row r="838">
      <c r="H838" s="111"/>
    </row>
    <row r="839">
      <c r="H839" s="111"/>
    </row>
    <row r="840">
      <c r="H840" s="111"/>
    </row>
    <row r="841">
      <c r="H841" s="111"/>
    </row>
    <row r="842">
      <c r="H842" s="111"/>
    </row>
    <row r="843">
      <c r="H843" s="111"/>
    </row>
    <row r="844">
      <c r="H844" s="111"/>
    </row>
    <row r="845">
      <c r="H845" s="111"/>
    </row>
    <row r="846">
      <c r="H846" s="111"/>
    </row>
    <row r="847">
      <c r="H847" s="111"/>
    </row>
    <row r="848">
      <c r="H848" s="111"/>
    </row>
    <row r="849">
      <c r="H849" s="111"/>
    </row>
    <row r="850">
      <c r="H850" s="111"/>
    </row>
    <row r="851">
      <c r="H851" s="111"/>
    </row>
    <row r="852">
      <c r="H852" s="111"/>
    </row>
    <row r="853">
      <c r="H853" s="111"/>
    </row>
    <row r="854">
      <c r="H854" s="111"/>
    </row>
    <row r="855">
      <c r="H855" s="111"/>
    </row>
    <row r="856">
      <c r="H856" s="111"/>
    </row>
    <row r="857">
      <c r="H857" s="111"/>
    </row>
    <row r="858">
      <c r="H858" s="111"/>
    </row>
    <row r="859">
      <c r="H859" s="111"/>
    </row>
    <row r="860">
      <c r="H860" s="111"/>
    </row>
    <row r="861">
      <c r="H861" s="111"/>
    </row>
    <row r="862">
      <c r="H862" s="111"/>
    </row>
    <row r="863">
      <c r="H863" s="111"/>
    </row>
    <row r="864">
      <c r="H864" s="111"/>
    </row>
    <row r="865">
      <c r="H865" s="111"/>
    </row>
    <row r="866">
      <c r="H866" s="111"/>
    </row>
    <row r="867">
      <c r="H867" s="111"/>
    </row>
    <row r="868">
      <c r="H868" s="111"/>
    </row>
    <row r="869">
      <c r="H869" s="111"/>
    </row>
    <row r="870">
      <c r="H870" s="111"/>
    </row>
    <row r="871">
      <c r="H871" s="111"/>
    </row>
    <row r="872">
      <c r="H872" s="111"/>
    </row>
    <row r="873">
      <c r="H873" s="111"/>
    </row>
    <row r="874">
      <c r="H874" s="111"/>
    </row>
    <row r="875">
      <c r="H875" s="111"/>
    </row>
    <row r="876">
      <c r="H876" s="111"/>
    </row>
    <row r="877">
      <c r="H877" s="111"/>
    </row>
    <row r="878">
      <c r="H878" s="111"/>
    </row>
    <row r="879">
      <c r="H879" s="111"/>
    </row>
    <row r="880">
      <c r="H880" s="111"/>
    </row>
    <row r="881">
      <c r="H881" s="111"/>
    </row>
    <row r="882">
      <c r="H882" s="111"/>
    </row>
    <row r="883">
      <c r="H883" s="111"/>
    </row>
    <row r="884">
      <c r="H884" s="111"/>
    </row>
    <row r="885">
      <c r="H885" s="111"/>
    </row>
    <row r="886">
      <c r="H886" s="111"/>
    </row>
    <row r="887">
      <c r="H887" s="111"/>
    </row>
    <row r="888">
      <c r="H888" s="111"/>
    </row>
    <row r="889">
      <c r="H889" s="111"/>
    </row>
    <row r="890">
      <c r="H890" s="111"/>
    </row>
    <row r="891">
      <c r="H891" s="111"/>
    </row>
    <row r="892">
      <c r="H892" s="111"/>
    </row>
    <row r="893">
      <c r="H893" s="111"/>
    </row>
    <row r="894">
      <c r="H894" s="111"/>
    </row>
    <row r="895">
      <c r="H895" s="111"/>
    </row>
    <row r="896">
      <c r="H896" s="111"/>
    </row>
    <row r="897">
      <c r="H897" s="111"/>
    </row>
    <row r="898">
      <c r="H898" s="111"/>
    </row>
    <row r="899">
      <c r="H899" s="111"/>
    </row>
    <row r="900">
      <c r="H900" s="111"/>
    </row>
    <row r="901">
      <c r="H901" s="111"/>
    </row>
    <row r="902">
      <c r="H902" s="111"/>
    </row>
    <row r="903">
      <c r="H903" s="111"/>
    </row>
    <row r="904">
      <c r="H904" s="111"/>
    </row>
    <row r="905">
      <c r="H905" s="111"/>
    </row>
    <row r="906">
      <c r="H906" s="111"/>
    </row>
    <row r="907">
      <c r="H907" s="111"/>
    </row>
    <row r="908">
      <c r="H908" s="111"/>
    </row>
    <row r="909">
      <c r="H909" s="111"/>
    </row>
    <row r="910">
      <c r="H910" s="111"/>
    </row>
    <row r="911">
      <c r="H911" s="111"/>
    </row>
    <row r="912">
      <c r="H912" s="111"/>
    </row>
    <row r="913">
      <c r="H913" s="111"/>
    </row>
    <row r="914">
      <c r="H914" s="111"/>
    </row>
    <row r="915">
      <c r="H915" s="111"/>
    </row>
    <row r="916">
      <c r="H916" s="111"/>
    </row>
    <row r="917">
      <c r="H917" s="111"/>
    </row>
    <row r="918">
      <c r="H918" s="111"/>
    </row>
    <row r="919">
      <c r="H919" s="111"/>
    </row>
    <row r="920">
      <c r="H920" s="111"/>
    </row>
    <row r="921">
      <c r="H921" s="111"/>
    </row>
    <row r="922">
      <c r="H922" s="111"/>
    </row>
    <row r="923">
      <c r="H923" s="111"/>
    </row>
    <row r="924">
      <c r="H924" s="111"/>
    </row>
    <row r="925">
      <c r="H925" s="111"/>
    </row>
    <row r="926">
      <c r="H926" s="111"/>
    </row>
    <row r="927">
      <c r="H927" s="111"/>
    </row>
    <row r="928">
      <c r="H928" s="111"/>
    </row>
    <row r="929">
      <c r="H929" s="111"/>
    </row>
    <row r="930">
      <c r="H930" s="111"/>
    </row>
    <row r="931">
      <c r="H931" s="111"/>
    </row>
    <row r="932">
      <c r="H932" s="111"/>
    </row>
    <row r="933">
      <c r="H933" s="111"/>
    </row>
    <row r="934">
      <c r="H934" s="111"/>
    </row>
    <row r="935">
      <c r="H935" s="111"/>
    </row>
    <row r="936">
      <c r="H936" s="111"/>
    </row>
    <row r="937">
      <c r="H937" s="111"/>
    </row>
    <row r="938">
      <c r="H938" s="111"/>
    </row>
    <row r="939">
      <c r="H939" s="111"/>
    </row>
    <row r="940">
      <c r="H940" s="111"/>
    </row>
    <row r="941">
      <c r="H941" s="111"/>
    </row>
    <row r="942">
      <c r="H942" s="111"/>
    </row>
    <row r="943">
      <c r="H943" s="111"/>
    </row>
    <row r="944">
      <c r="H944" s="111"/>
    </row>
    <row r="945">
      <c r="H945" s="111"/>
    </row>
    <row r="946">
      <c r="H946" s="111"/>
    </row>
    <row r="947">
      <c r="H947" s="111"/>
    </row>
    <row r="948">
      <c r="H948" s="111"/>
    </row>
    <row r="949">
      <c r="H949" s="111"/>
    </row>
    <row r="950">
      <c r="H950" s="111"/>
    </row>
    <row r="951">
      <c r="H951" s="111"/>
    </row>
    <row r="952">
      <c r="H952" s="111"/>
    </row>
    <row r="953">
      <c r="H953" s="111"/>
    </row>
    <row r="954">
      <c r="H954" s="111"/>
    </row>
    <row r="955">
      <c r="H955" s="111"/>
    </row>
    <row r="956">
      <c r="H956" s="111"/>
    </row>
    <row r="957">
      <c r="H957" s="111"/>
    </row>
    <row r="958">
      <c r="H958" s="111"/>
    </row>
    <row r="959">
      <c r="H959" s="111"/>
    </row>
    <row r="960">
      <c r="H960" s="111"/>
    </row>
    <row r="961">
      <c r="H961" s="111"/>
    </row>
    <row r="962">
      <c r="H962" s="111"/>
    </row>
    <row r="963">
      <c r="H963" s="111"/>
    </row>
    <row r="964">
      <c r="H964" s="111"/>
    </row>
    <row r="965">
      <c r="H965" s="111"/>
    </row>
    <row r="966">
      <c r="H966" s="111"/>
    </row>
    <row r="967">
      <c r="H967" s="111"/>
    </row>
    <row r="968">
      <c r="H968" s="111"/>
    </row>
    <row r="969">
      <c r="H969" s="111"/>
    </row>
    <row r="970">
      <c r="H970" s="111"/>
    </row>
    <row r="971">
      <c r="H971" s="111"/>
    </row>
    <row r="972">
      <c r="H972" s="111"/>
    </row>
    <row r="973">
      <c r="H973" s="111"/>
    </row>
    <row r="974">
      <c r="H974" s="111"/>
    </row>
    <row r="975">
      <c r="H975" s="111"/>
    </row>
    <row r="976">
      <c r="H976" s="111"/>
    </row>
    <row r="977">
      <c r="H977" s="111"/>
    </row>
    <row r="978">
      <c r="H978" s="111"/>
    </row>
    <row r="979">
      <c r="H979" s="111"/>
    </row>
    <row r="980">
      <c r="H980" s="111"/>
    </row>
    <row r="981">
      <c r="H981" s="111"/>
    </row>
    <row r="982">
      <c r="H982" s="111"/>
    </row>
    <row r="983">
      <c r="H983" s="111"/>
    </row>
    <row r="984">
      <c r="H984" s="111"/>
    </row>
    <row r="985">
      <c r="H985" s="111"/>
    </row>
    <row r="986">
      <c r="H986" s="111"/>
    </row>
    <row r="987">
      <c r="H987" s="111"/>
    </row>
    <row r="988">
      <c r="H988" s="111"/>
    </row>
    <row r="989">
      <c r="H989" s="111"/>
    </row>
    <row r="990">
      <c r="H990" s="111"/>
    </row>
    <row r="991">
      <c r="H991" s="11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24" t="s">
        <v>164</v>
      </c>
    </row>
    <row r="2">
      <c r="B2" s="125"/>
      <c r="C2" s="125"/>
      <c r="D2" s="125"/>
      <c r="E2" s="125"/>
      <c r="F2" s="125"/>
      <c r="G2" s="125"/>
      <c r="H2" s="125"/>
    </row>
    <row r="3">
      <c r="B3" s="126" t="s">
        <v>165</v>
      </c>
      <c r="E3" s="125"/>
      <c r="F3" s="125"/>
      <c r="G3" s="125"/>
      <c r="H3" s="125"/>
    </row>
    <row r="4">
      <c r="B4" s="127" t="s">
        <v>166</v>
      </c>
      <c r="C4" s="128"/>
      <c r="D4" s="128"/>
      <c r="E4" s="128"/>
      <c r="F4" s="127" t="s">
        <v>167</v>
      </c>
      <c r="G4" s="129"/>
      <c r="H4" s="128"/>
    </row>
    <row r="5">
      <c r="B5" s="126" t="s">
        <v>168</v>
      </c>
      <c r="C5" s="126" t="s">
        <v>169</v>
      </c>
      <c r="D5" s="130" t="str">
        <f>FillIn!H4</f>
        <v>DeNeX Uitzendbureau B.V.</v>
      </c>
      <c r="E5" s="128"/>
      <c r="F5" s="126" t="s">
        <v>168</v>
      </c>
      <c r="G5" s="126" t="s">
        <v>169</v>
      </c>
      <c r="H5" s="130" t="str">
        <f>FillIn!G47</f>
        <v>A.A. Kazakov</v>
      </c>
    </row>
    <row r="6">
      <c r="B6" s="126" t="s">
        <v>170</v>
      </c>
      <c r="C6" s="126" t="s">
        <v>169</v>
      </c>
      <c r="D6" s="126" t="str">
        <f>FillIn!H6</f>
        <v>Gebroken Meeldijk 66, Unit 1.15</v>
      </c>
      <c r="E6" s="128"/>
      <c r="F6" s="126" t="s">
        <v>170</v>
      </c>
      <c r="G6" s="131" t="s">
        <v>169</v>
      </c>
      <c r="H6" s="130" t="str">
        <f>FillIn!H48</f>
        <v>Loosduinseweg 867</v>
      </c>
    </row>
    <row r="7">
      <c r="B7" s="126" t="s">
        <v>171</v>
      </c>
      <c r="C7" s="126" t="s">
        <v>169</v>
      </c>
      <c r="D7" s="130" t="str">
        <f>FillIn!H7&amp;" "&amp;FillIn!H8</f>
        <v>2991 VD Barendrecht</v>
      </c>
      <c r="E7" s="128"/>
      <c r="F7" s="126" t="s">
        <v>171</v>
      </c>
      <c r="G7" s="126" t="s">
        <v>169</v>
      </c>
      <c r="H7" s="130" t="str">
        <f>FillIn!H49&amp;" "&amp;FillIn!I49</f>
        <v>2571AV s-Gravenhage</v>
      </c>
    </row>
    <row r="8">
      <c r="B8" s="126" t="s">
        <v>172</v>
      </c>
      <c r="C8" s="126" t="s">
        <v>169</v>
      </c>
      <c r="D8" s="126" t="str">
        <f>FillIn!M5</f>
        <v>de heer D.O. Ibryam</v>
      </c>
      <c r="E8" s="128"/>
      <c r="F8" s="126" t="s">
        <v>172</v>
      </c>
      <c r="G8" s="126" t="s">
        <v>169</v>
      </c>
      <c r="H8" s="132" t="str">
        <f>FillIn!M50</f>
        <v>deheer A.A. Kazakov</v>
      </c>
    </row>
    <row r="9">
      <c r="B9" s="129"/>
      <c r="C9" s="128"/>
      <c r="D9" s="128"/>
      <c r="E9" s="128"/>
      <c r="F9" s="129"/>
      <c r="G9" s="129"/>
      <c r="H9" s="133"/>
    </row>
    <row r="10">
      <c r="B10" s="126" t="s">
        <v>173</v>
      </c>
      <c r="D10" s="128"/>
      <c r="E10" s="128"/>
      <c r="F10" s="128"/>
      <c r="G10" s="128"/>
      <c r="H10" s="128"/>
    </row>
    <row r="11">
      <c r="B11" s="128"/>
      <c r="C11" s="128"/>
      <c r="D11" s="128"/>
      <c r="E11" s="128"/>
      <c r="F11" s="128"/>
      <c r="G11" s="128"/>
      <c r="H11" s="128"/>
    </row>
    <row r="12">
      <c r="B12" s="134" t="s">
        <v>174</v>
      </c>
    </row>
    <row r="13">
      <c r="B13" s="135"/>
      <c r="H13" s="125"/>
      <c r="I13" s="125"/>
    </row>
    <row r="14">
      <c r="B14" s="134" t="s">
        <v>175</v>
      </c>
    </row>
    <row r="15">
      <c r="B15" s="135"/>
      <c r="E15" s="125"/>
      <c r="F15" s="125"/>
      <c r="G15" s="125"/>
      <c r="H15" s="125"/>
    </row>
    <row r="16">
      <c r="B16" s="134" t="s">
        <v>176</v>
      </c>
    </row>
    <row r="17">
      <c r="B17" s="136"/>
      <c r="C17" s="125"/>
      <c r="D17" s="125"/>
      <c r="E17" s="125"/>
      <c r="F17" s="125"/>
      <c r="G17" s="125"/>
      <c r="H17" s="125"/>
    </row>
    <row r="18">
      <c r="B18" s="135" t="s">
        <v>177</v>
      </c>
    </row>
    <row r="19">
      <c r="B19" s="136"/>
      <c r="C19" s="125"/>
      <c r="D19" s="125"/>
      <c r="E19" s="125"/>
      <c r="F19" s="125"/>
      <c r="G19" s="125"/>
      <c r="H19" s="125"/>
    </row>
    <row r="20">
      <c r="B20" s="135" t="s">
        <v>178</v>
      </c>
      <c r="E20" s="125"/>
      <c r="F20" s="125"/>
      <c r="G20" s="125"/>
      <c r="H20" s="125"/>
    </row>
    <row r="21">
      <c r="B21" s="136"/>
      <c r="C21" s="125"/>
      <c r="D21" s="125"/>
      <c r="E21" s="125"/>
      <c r="F21" s="125"/>
      <c r="G21" s="125"/>
      <c r="H21" s="125"/>
    </row>
    <row r="22">
      <c r="B22" s="137" t="s">
        <v>179</v>
      </c>
      <c r="E22" s="125"/>
      <c r="F22" s="125"/>
      <c r="G22" s="125"/>
      <c r="H22" s="125"/>
    </row>
    <row r="23">
      <c r="B23" s="138" t="s">
        <v>180</v>
      </c>
    </row>
    <row r="24">
      <c r="B24" s="139" t="s">
        <v>181</v>
      </c>
      <c r="E24" s="140" t="s">
        <v>182</v>
      </c>
      <c r="H24" s="125"/>
      <c r="I24" s="125"/>
    </row>
    <row r="25">
      <c r="B25" s="125"/>
      <c r="C25" s="125"/>
      <c r="D25" s="125"/>
      <c r="E25" s="125"/>
      <c r="F25" s="125"/>
      <c r="G25" s="125"/>
      <c r="H25" s="125"/>
    </row>
    <row r="26">
      <c r="B26" s="141" t="s">
        <v>183</v>
      </c>
      <c r="E26" s="125"/>
      <c r="F26" s="125"/>
      <c r="G26" s="125"/>
      <c r="H26" s="125"/>
    </row>
    <row r="27">
      <c r="B27" s="142" t="s">
        <v>184</v>
      </c>
    </row>
    <row r="28">
      <c r="B28" s="126"/>
      <c r="I28" s="125"/>
    </row>
    <row r="29">
      <c r="B29" s="142" t="s">
        <v>185</v>
      </c>
    </row>
    <row r="30">
      <c r="B30" s="126"/>
    </row>
    <row r="31">
      <c r="B31" s="142" t="s">
        <v>186</v>
      </c>
    </row>
    <row r="32">
      <c r="B32" s="126"/>
    </row>
    <row r="33">
      <c r="B33" s="142" t="s">
        <v>187</v>
      </c>
    </row>
    <row r="34">
      <c r="B34" s="142" t="s">
        <v>188</v>
      </c>
    </row>
    <row r="35">
      <c r="B35" s="126"/>
      <c r="E35" s="125"/>
      <c r="F35" s="125"/>
      <c r="G35" s="125"/>
      <c r="H35" s="125"/>
    </row>
    <row r="36">
      <c r="B36" s="137" t="s">
        <v>189</v>
      </c>
      <c r="E36" s="125"/>
      <c r="F36" s="125"/>
      <c r="G36" s="125"/>
      <c r="H36" s="125"/>
    </row>
    <row r="37">
      <c r="B37" s="126" t="s">
        <v>190</v>
      </c>
    </row>
    <row r="38">
      <c r="B38" s="129"/>
      <c r="C38" s="125"/>
      <c r="D38" s="125"/>
      <c r="E38" s="125"/>
      <c r="F38" s="125"/>
      <c r="G38" s="125"/>
      <c r="H38" s="125"/>
    </row>
    <row r="39">
      <c r="B39" s="137" t="s">
        <v>191</v>
      </c>
      <c r="E39" s="125"/>
      <c r="F39" s="125"/>
      <c r="G39" s="125"/>
      <c r="H39" s="125"/>
    </row>
    <row r="40">
      <c r="B40" s="142" t="s">
        <v>192</v>
      </c>
    </row>
    <row r="41">
      <c r="B41" s="126"/>
    </row>
    <row r="42">
      <c r="B42" s="137" t="s">
        <v>193</v>
      </c>
      <c r="C42" s="125"/>
      <c r="D42" s="125"/>
      <c r="E42" s="125"/>
      <c r="F42" s="125"/>
      <c r="G42" s="125"/>
      <c r="H42" s="125"/>
    </row>
    <row r="43">
      <c r="B43" s="126" t="s">
        <v>194</v>
      </c>
      <c r="H43" s="125"/>
      <c r="I43" s="125"/>
    </row>
    <row r="44">
      <c r="B44" s="129"/>
      <c r="C44" s="125"/>
      <c r="D44" s="125"/>
      <c r="E44" s="125"/>
      <c r="F44" s="125"/>
      <c r="G44" s="125"/>
      <c r="H44" s="125"/>
    </row>
    <row r="45">
      <c r="B45" s="137" t="s">
        <v>195</v>
      </c>
      <c r="E45" s="125"/>
      <c r="F45" s="125"/>
      <c r="G45" s="125"/>
      <c r="H45" s="125"/>
    </row>
    <row r="46">
      <c r="B46" s="126" t="s">
        <v>196</v>
      </c>
    </row>
    <row r="47">
      <c r="B47" s="143">
        <v>28.0</v>
      </c>
      <c r="C47" s="139" t="s">
        <v>197</v>
      </c>
      <c r="F47" s="125"/>
      <c r="G47" s="125"/>
      <c r="H47" s="125"/>
    </row>
    <row r="48">
      <c r="B48" s="143">
        <v>26.0</v>
      </c>
      <c r="C48" s="139" t="s">
        <v>198</v>
      </c>
      <c r="G48" s="125"/>
      <c r="H48" s="125"/>
    </row>
    <row r="49">
      <c r="B49" s="129"/>
      <c r="C49" s="125"/>
      <c r="D49" s="125"/>
      <c r="E49" s="125"/>
      <c r="F49" s="125"/>
      <c r="G49" s="125"/>
      <c r="H49" s="125"/>
    </row>
    <row r="50">
      <c r="B50" s="126" t="s">
        <v>199</v>
      </c>
    </row>
    <row r="51">
      <c r="B51" s="126" t="s">
        <v>200</v>
      </c>
    </row>
    <row r="52">
      <c r="B52" s="126" t="s">
        <v>114</v>
      </c>
      <c r="E52" s="125"/>
      <c r="F52" s="125"/>
      <c r="G52" s="125"/>
      <c r="H52" s="125"/>
    </row>
    <row r="53">
      <c r="B53" s="129"/>
      <c r="C53" s="125"/>
      <c r="D53" s="125"/>
      <c r="E53" s="125"/>
      <c r="F53" s="125"/>
      <c r="G53" s="125"/>
      <c r="H53" s="125"/>
    </row>
    <row r="54">
      <c r="B54" s="126" t="s">
        <v>201</v>
      </c>
    </row>
    <row r="55">
      <c r="B55" s="126" t="s">
        <v>202</v>
      </c>
      <c r="E55" s="125"/>
      <c r="F55" s="125"/>
      <c r="G55" s="125"/>
      <c r="H55" s="125"/>
    </row>
    <row r="56">
      <c r="B56" s="129"/>
      <c r="C56" s="125"/>
      <c r="D56" s="125"/>
      <c r="E56" s="125"/>
      <c r="F56" s="125"/>
      <c r="G56" s="125"/>
      <c r="H56" s="125"/>
    </row>
    <row r="57">
      <c r="B57" s="126" t="s">
        <v>203</v>
      </c>
    </row>
    <row r="58">
      <c r="B58" s="126" t="s">
        <v>204</v>
      </c>
    </row>
    <row r="59">
      <c r="B59" s="129"/>
      <c r="C59" s="125"/>
      <c r="D59" s="125"/>
      <c r="E59" s="125"/>
      <c r="F59" s="125"/>
      <c r="G59" s="125"/>
      <c r="H59" s="125"/>
    </row>
    <row r="60">
      <c r="B60" s="137" t="s">
        <v>205</v>
      </c>
      <c r="E60" s="125"/>
      <c r="F60" s="125"/>
      <c r="G60" s="125"/>
      <c r="H60" s="125"/>
    </row>
    <row r="61">
      <c r="B61" s="126" t="s">
        <v>206</v>
      </c>
    </row>
    <row r="62">
      <c r="B62" s="126" t="s">
        <v>207</v>
      </c>
    </row>
    <row r="63">
      <c r="B63" s="126" t="s">
        <v>208</v>
      </c>
    </row>
    <row r="64">
      <c r="B64" s="129"/>
      <c r="C64" s="125"/>
      <c r="D64" s="125"/>
      <c r="E64" s="125"/>
      <c r="F64" s="125"/>
      <c r="G64" s="125"/>
      <c r="H64" s="125"/>
    </row>
    <row r="65">
      <c r="B65" s="126" t="s">
        <v>209</v>
      </c>
    </row>
    <row r="66">
      <c r="B66" s="129"/>
      <c r="C66" s="125"/>
      <c r="D66" s="125"/>
      <c r="E66" s="125"/>
      <c r="F66" s="125"/>
      <c r="G66" s="125"/>
      <c r="H66" s="125"/>
    </row>
    <row r="67">
      <c r="B67" s="137" t="s">
        <v>210</v>
      </c>
      <c r="E67" s="125"/>
      <c r="F67" s="125"/>
      <c r="G67" s="125"/>
      <c r="H67" s="125"/>
    </row>
    <row r="68">
      <c r="B68" s="126" t="s">
        <v>211</v>
      </c>
    </row>
    <row r="69">
      <c r="B69" s="126" t="s">
        <v>212</v>
      </c>
    </row>
    <row r="70">
      <c r="B70" s="129"/>
      <c r="C70" s="125"/>
      <c r="D70" s="125"/>
      <c r="E70" s="125"/>
      <c r="F70" s="125"/>
      <c r="G70" s="125"/>
      <c r="H70" s="125"/>
    </row>
    <row r="71">
      <c r="B71" s="126" t="s">
        <v>213</v>
      </c>
    </row>
    <row r="72">
      <c r="B72" s="126" t="s">
        <v>214</v>
      </c>
      <c r="H72" s="125"/>
      <c r="I72" s="125"/>
    </row>
    <row r="73">
      <c r="B73" s="144" t="s">
        <v>215</v>
      </c>
      <c r="E73" s="125"/>
      <c r="F73" s="125"/>
      <c r="G73" s="125"/>
      <c r="H73" s="125"/>
    </row>
    <row r="74">
      <c r="B74" s="144" t="s">
        <v>216</v>
      </c>
      <c r="H74" s="125"/>
      <c r="I74" s="125"/>
    </row>
    <row r="75">
      <c r="B75" s="144" t="s">
        <v>217</v>
      </c>
    </row>
    <row r="76">
      <c r="B76" s="144" t="s">
        <v>218</v>
      </c>
      <c r="H76" s="125"/>
      <c r="I76" s="125"/>
    </row>
    <row r="77">
      <c r="B77" s="145"/>
      <c r="C77" s="125"/>
      <c r="D77" s="125"/>
      <c r="E77" s="125"/>
      <c r="F77" s="125"/>
      <c r="G77" s="125"/>
      <c r="H77" s="125"/>
    </row>
    <row r="78">
      <c r="B78" s="137" t="s">
        <v>219</v>
      </c>
      <c r="E78" s="125"/>
      <c r="F78" s="125"/>
      <c r="G78" s="125"/>
      <c r="H78" s="125"/>
    </row>
    <row r="79">
      <c r="B79" s="144" t="s">
        <v>220</v>
      </c>
    </row>
    <row r="80">
      <c r="B80" s="144" t="s">
        <v>221</v>
      </c>
    </row>
    <row r="81">
      <c r="B81" s="144" t="s">
        <v>222</v>
      </c>
      <c r="E81" s="125"/>
      <c r="F81" s="125"/>
      <c r="G81" s="125"/>
      <c r="H81" s="125"/>
    </row>
    <row r="82">
      <c r="B82" s="145"/>
      <c r="C82" s="125"/>
      <c r="D82" s="125"/>
      <c r="E82" s="125"/>
      <c r="F82" s="125"/>
      <c r="G82" s="125"/>
      <c r="H82" s="125"/>
    </row>
    <row r="83">
      <c r="B83" s="144" t="s">
        <v>223</v>
      </c>
    </row>
    <row r="84">
      <c r="B84" s="145"/>
      <c r="C84" s="125"/>
      <c r="D84" s="125"/>
      <c r="E84" s="125"/>
      <c r="F84" s="125"/>
      <c r="G84" s="125"/>
      <c r="H84" s="125"/>
    </row>
    <row r="85">
      <c r="B85" s="144" t="s">
        <v>224</v>
      </c>
    </row>
    <row r="86">
      <c r="B86" s="144" t="s">
        <v>225</v>
      </c>
      <c r="E86" s="125"/>
      <c r="F86" s="125"/>
      <c r="G86" s="125"/>
      <c r="H86" s="125"/>
    </row>
    <row r="87">
      <c r="B87" s="145"/>
      <c r="C87" s="125"/>
      <c r="D87" s="125"/>
      <c r="E87" s="125"/>
      <c r="F87" s="125"/>
      <c r="G87" s="125"/>
      <c r="H87" s="125"/>
    </row>
    <row r="88">
      <c r="B88" s="144" t="s">
        <v>226</v>
      </c>
    </row>
    <row r="89">
      <c r="B89" s="144" t="s">
        <v>227</v>
      </c>
    </row>
    <row r="90">
      <c r="B90" s="145"/>
      <c r="C90" s="125"/>
      <c r="D90" s="125"/>
      <c r="E90" s="125"/>
      <c r="F90" s="125"/>
      <c r="G90" s="125"/>
      <c r="H90" s="125"/>
    </row>
    <row r="91">
      <c r="B91" s="144" t="s">
        <v>228</v>
      </c>
    </row>
    <row r="92">
      <c r="B92" s="144" t="s">
        <v>229</v>
      </c>
    </row>
    <row r="93">
      <c r="B93" s="144" t="s">
        <v>230</v>
      </c>
    </row>
    <row r="94">
      <c r="B94" s="145"/>
      <c r="C94" s="125"/>
      <c r="D94" s="125"/>
      <c r="E94" s="125"/>
      <c r="F94" s="125"/>
      <c r="G94" s="125"/>
      <c r="H94" s="125"/>
    </row>
    <row r="95">
      <c r="B95" s="137" t="s">
        <v>231</v>
      </c>
      <c r="E95" s="125"/>
      <c r="F95" s="125"/>
      <c r="G95" s="125"/>
      <c r="H95" s="125"/>
    </row>
    <row r="96">
      <c r="B96" s="144" t="s">
        <v>232</v>
      </c>
    </row>
    <row r="97">
      <c r="B97" s="145"/>
      <c r="C97" s="125"/>
      <c r="D97" s="125"/>
      <c r="E97" s="125"/>
      <c r="F97" s="125"/>
      <c r="G97" s="125"/>
      <c r="H97" s="125"/>
    </row>
    <row r="98">
      <c r="B98" s="137" t="s">
        <v>233</v>
      </c>
      <c r="E98" s="125"/>
      <c r="F98" s="125"/>
      <c r="G98" s="125"/>
      <c r="H98" s="125"/>
    </row>
    <row r="99">
      <c r="B99" s="144" t="s">
        <v>234</v>
      </c>
    </row>
    <row r="100">
      <c r="B100" s="144" t="s">
        <v>235</v>
      </c>
    </row>
    <row r="101">
      <c r="B101" s="145"/>
      <c r="C101" s="125"/>
      <c r="D101" s="125"/>
      <c r="E101" s="125"/>
      <c r="F101" s="125"/>
      <c r="G101" s="125"/>
      <c r="H101" s="125"/>
    </row>
    <row r="102">
      <c r="B102" s="137" t="s">
        <v>236</v>
      </c>
      <c r="E102" s="125"/>
      <c r="F102" s="125"/>
      <c r="G102" s="125"/>
      <c r="H102" s="125"/>
    </row>
    <row r="103">
      <c r="B103" s="144" t="s">
        <v>237</v>
      </c>
    </row>
    <row r="104">
      <c r="B104" s="144" t="s">
        <v>238</v>
      </c>
    </row>
    <row r="105">
      <c r="B105" s="144" t="s">
        <v>239</v>
      </c>
      <c r="C105" s="125"/>
      <c r="D105" s="125"/>
      <c r="E105" s="125"/>
      <c r="F105" s="125"/>
      <c r="G105" s="125"/>
      <c r="H105" s="125"/>
    </row>
    <row r="106">
      <c r="B106" s="145"/>
      <c r="C106" s="125"/>
      <c r="D106" s="125"/>
      <c r="E106" s="125"/>
      <c r="F106" s="125"/>
      <c r="G106" s="125"/>
      <c r="H106" s="125"/>
    </row>
    <row r="107">
      <c r="B107" s="144" t="s">
        <v>240</v>
      </c>
    </row>
    <row r="108">
      <c r="B108" s="144" t="s">
        <v>241</v>
      </c>
    </row>
    <row r="109">
      <c r="B109" s="145"/>
      <c r="C109" s="125"/>
      <c r="D109" s="125"/>
      <c r="E109" s="125"/>
      <c r="F109" s="125"/>
      <c r="G109" s="125"/>
      <c r="H109" s="125"/>
    </row>
    <row r="110">
      <c r="B110" s="137" t="s">
        <v>242</v>
      </c>
      <c r="E110" s="125"/>
      <c r="F110" s="125"/>
      <c r="G110" s="125"/>
      <c r="H110" s="125"/>
    </row>
    <row r="111">
      <c r="B111" s="144" t="s">
        <v>243</v>
      </c>
    </row>
    <row r="112">
      <c r="B112" s="145"/>
      <c r="C112" s="125"/>
      <c r="D112" s="125"/>
      <c r="E112" s="125"/>
      <c r="F112" s="125"/>
      <c r="G112" s="125"/>
      <c r="H112" s="125"/>
    </row>
    <row r="113">
      <c r="B113" s="137" t="s">
        <v>244</v>
      </c>
      <c r="E113" s="125"/>
      <c r="F113" s="125"/>
      <c r="G113" s="125"/>
      <c r="H113" s="125"/>
    </row>
    <row r="114">
      <c r="B114" s="144" t="s">
        <v>245</v>
      </c>
    </row>
    <row r="115">
      <c r="B115" s="145"/>
      <c r="C115" s="125"/>
      <c r="D115" s="125"/>
      <c r="E115" s="125"/>
      <c r="F115" s="125"/>
      <c r="G115" s="125"/>
      <c r="H115" s="125"/>
    </row>
    <row r="116">
      <c r="B116" s="144" t="s">
        <v>246</v>
      </c>
    </row>
    <row r="117">
      <c r="B117" s="144" t="s">
        <v>247</v>
      </c>
    </row>
    <row r="118">
      <c r="B118" s="144" t="s">
        <v>248</v>
      </c>
      <c r="H118" s="125"/>
      <c r="I118" s="125"/>
    </row>
    <row r="119">
      <c r="B119" s="145"/>
      <c r="C119" s="125"/>
      <c r="D119" s="125"/>
      <c r="E119" s="125"/>
      <c r="F119" s="125"/>
      <c r="G119" s="125"/>
      <c r="H119" s="125"/>
    </row>
    <row r="120">
      <c r="B120" s="144" t="s">
        <v>249</v>
      </c>
    </row>
    <row r="121">
      <c r="B121" s="144" t="s">
        <v>250</v>
      </c>
      <c r="E121" s="125"/>
      <c r="F121" s="125"/>
      <c r="G121" s="125"/>
      <c r="H121" s="125"/>
    </row>
    <row r="122">
      <c r="B122" s="145"/>
      <c r="C122" s="125"/>
      <c r="D122" s="125"/>
      <c r="E122" s="125"/>
      <c r="F122" s="125"/>
      <c r="G122" s="125"/>
      <c r="H122" s="125"/>
    </row>
    <row r="123">
      <c r="B123" s="137" t="s">
        <v>251</v>
      </c>
      <c r="H123" s="125"/>
      <c r="I123" s="125"/>
    </row>
    <row r="124">
      <c r="B124" s="144" t="s">
        <v>252</v>
      </c>
    </row>
    <row r="125">
      <c r="B125" s="144" t="s">
        <v>253</v>
      </c>
    </row>
    <row r="126">
      <c r="B126" s="145"/>
      <c r="C126" s="125"/>
      <c r="D126" s="125"/>
      <c r="E126" s="125"/>
      <c r="F126" s="125"/>
      <c r="G126" s="125"/>
      <c r="H126" s="125"/>
    </row>
    <row r="127">
      <c r="B127" s="137" t="s">
        <v>254</v>
      </c>
      <c r="E127" s="125"/>
      <c r="F127" s="125"/>
      <c r="G127" s="125"/>
      <c r="H127" s="125"/>
    </row>
    <row r="128">
      <c r="B128" s="144" t="s">
        <v>255</v>
      </c>
    </row>
    <row r="129">
      <c r="B129" s="144" t="s">
        <v>256</v>
      </c>
      <c r="C129" s="125"/>
      <c r="D129" s="125"/>
      <c r="E129" s="125"/>
      <c r="F129" s="125"/>
      <c r="G129" s="125"/>
      <c r="H129" s="125"/>
    </row>
    <row r="130">
      <c r="B130" s="145"/>
      <c r="C130" s="125"/>
      <c r="D130" s="125"/>
      <c r="E130" s="125"/>
      <c r="F130" s="125"/>
      <c r="G130" s="125"/>
      <c r="H130" s="125"/>
    </row>
    <row r="131">
      <c r="B131" s="137" t="s">
        <v>257</v>
      </c>
      <c r="D131" s="125"/>
      <c r="E131" s="125"/>
      <c r="F131" s="125"/>
      <c r="G131" s="125"/>
      <c r="H131" s="125"/>
    </row>
    <row r="132">
      <c r="B132" s="144" t="s">
        <v>258</v>
      </c>
    </row>
    <row r="133">
      <c r="B133" s="144" t="s">
        <v>259</v>
      </c>
    </row>
    <row r="134">
      <c r="B134" s="144" t="s">
        <v>260</v>
      </c>
      <c r="C134" s="125"/>
      <c r="D134" s="125"/>
      <c r="E134" s="125"/>
      <c r="F134" s="125"/>
      <c r="G134" s="125"/>
      <c r="H134" s="125"/>
    </row>
    <row r="135">
      <c r="B135" s="145"/>
      <c r="C135" s="125"/>
      <c r="D135" s="125"/>
      <c r="E135" s="125"/>
      <c r="F135" s="125"/>
      <c r="G135" s="125"/>
      <c r="H135" s="125"/>
    </row>
    <row r="136">
      <c r="B136" s="137" t="s">
        <v>261</v>
      </c>
      <c r="E136" s="125"/>
      <c r="F136" s="125"/>
      <c r="G136" s="125"/>
      <c r="H136" s="125"/>
    </row>
    <row r="137">
      <c r="B137" s="144" t="s">
        <v>262</v>
      </c>
    </row>
    <row r="138">
      <c r="B138" s="145"/>
      <c r="C138" s="125"/>
      <c r="D138" s="125"/>
      <c r="E138" s="125"/>
      <c r="F138" s="125"/>
      <c r="G138" s="125"/>
      <c r="H138" s="125"/>
    </row>
    <row r="139">
      <c r="B139" s="137" t="s">
        <v>263</v>
      </c>
      <c r="E139" s="125"/>
      <c r="F139" s="125"/>
      <c r="G139" s="125"/>
      <c r="H139" s="125"/>
    </row>
    <row r="140">
      <c r="B140" s="144" t="s">
        <v>264</v>
      </c>
      <c r="H140" s="125"/>
      <c r="I140" s="125"/>
    </row>
    <row r="141">
      <c r="B141" s="145"/>
      <c r="C141" s="125"/>
      <c r="D141" s="125"/>
      <c r="E141" s="125"/>
      <c r="F141" s="125"/>
      <c r="G141" s="125"/>
      <c r="H141" s="125"/>
    </row>
    <row r="142">
      <c r="B142" s="137" t="s">
        <v>265</v>
      </c>
      <c r="E142" s="125"/>
      <c r="F142" s="125"/>
      <c r="G142" s="125"/>
      <c r="H142" s="125"/>
    </row>
    <row r="143">
      <c r="B143" s="135" t="s">
        <v>266</v>
      </c>
      <c r="H143" s="125"/>
      <c r="I143" s="125"/>
    </row>
    <row r="144">
      <c r="B144" s="125"/>
      <c r="C144" s="125"/>
      <c r="D144" s="125"/>
      <c r="E144" s="125"/>
      <c r="F144" s="125"/>
      <c r="G144" s="125"/>
      <c r="H144" s="125"/>
    </row>
    <row r="145">
      <c r="B145" s="146" t="s">
        <v>73</v>
      </c>
      <c r="C145" s="147" t="s">
        <v>169</v>
      </c>
      <c r="D145" s="139" t="str">
        <f>FillIn!H8</f>
        <v>Barendrecht</v>
      </c>
      <c r="E145" s="125"/>
      <c r="F145" s="139" t="s">
        <v>75</v>
      </c>
      <c r="G145" s="147" t="s">
        <v>169</v>
      </c>
      <c r="H145" s="148">
        <f>FillIn!H55-1</f>
        <v>45959</v>
      </c>
    </row>
    <row r="146">
      <c r="B146" s="125"/>
      <c r="C146" s="125"/>
      <c r="D146" s="125"/>
      <c r="E146" s="125"/>
      <c r="F146" s="125"/>
      <c r="G146" s="125"/>
      <c r="H146" s="125"/>
    </row>
    <row r="147">
      <c r="B147" s="125"/>
      <c r="C147" s="125"/>
      <c r="D147" s="125"/>
      <c r="E147" s="125"/>
      <c r="F147" s="125"/>
      <c r="G147" s="125"/>
      <c r="H147" s="125"/>
    </row>
    <row r="148">
      <c r="B148" s="125"/>
      <c r="C148" s="125"/>
      <c r="D148" s="125"/>
      <c r="E148" s="125"/>
      <c r="F148" s="125"/>
      <c r="G148" s="125"/>
      <c r="H148" s="125"/>
    </row>
    <row r="149">
      <c r="B149" s="125"/>
      <c r="C149" s="125"/>
      <c r="D149" s="125"/>
      <c r="E149" s="125"/>
      <c r="F149" s="125"/>
      <c r="G149" s="125"/>
      <c r="H149" s="125"/>
    </row>
    <row r="150">
      <c r="B150" s="144" t="s">
        <v>267</v>
      </c>
      <c r="E150" s="125"/>
      <c r="F150" s="144" t="s">
        <v>268</v>
      </c>
    </row>
    <row r="151">
      <c r="B151" s="130" t="str">
        <f>FillIn!M5</f>
        <v>de heer D.O. Ibryam</v>
      </c>
      <c r="C151" s="125"/>
      <c r="D151" s="125"/>
      <c r="E151" s="125"/>
      <c r="F151" s="130" t="str">
        <f>FillIn!M50</f>
        <v>deheer A.A. Kazakov</v>
      </c>
      <c r="G151" s="125"/>
      <c r="H151" s="125"/>
    </row>
  </sheetData>
  <mergeCells count="102">
    <mergeCell ref="B71:I71"/>
    <mergeCell ref="B72:G72"/>
    <mergeCell ref="B73:D73"/>
    <mergeCell ref="B74:G74"/>
    <mergeCell ref="B75:I75"/>
    <mergeCell ref="B76:G76"/>
    <mergeCell ref="B78:D78"/>
    <mergeCell ref="B79:I79"/>
    <mergeCell ref="B80:I80"/>
    <mergeCell ref="B81:D81"/>
    <mergeCell ref="B83:I83"/>
    <mergeCell ref="B85:I85"/>
    <mergeCell ref="B86:D86"/>
    <mergeCell ref="B88:I88"/>
    <mergeCell ref="B89:I89"/>
    <mergeCell ref="B91:I91"/>
    <mergeCell ref="B92:I92"/>
    <mergeCell ref="B93:I93"/>
    <mergeCell ref="B95:D95"/>
    <mergeCell ref="B96:I96"/>
    <mergeCell ref="B98:D98"/>
    <mergeCell ref="B99:I99"/>
    <mergeCell ref="B100:I100"/>
    <mergeCell ref="B102:D102"/>
    <mergeCell ref="B103:I103"/>
    <mergeCell ref="B104:I104"/>
    <mergeCell ref="B107:I107"/>
    <mergeCell ref="B108:I108"/>
    <mergeCell ref="B110:D110"/>
    <mergeCell ref="B111:I111"/>
    <mergeCell ref="B113:D113"/>
    <mergeCell ref="B114:I114"/>
    <mergeCell ref="B116:I116"/>
    <mergeCell ref="B117:I117"/>
    <mergeCell ref="B118:G118"/>
    <mergeCell ref="B120:I120"/>
    <mergeCell ref="B121:D121"/>
    <mergeCell ref="B123:G123"/>
    <mergeCell ref="B124:I124"/>
    <mergeCell ref="B125:I125"/>
    <mergeCell ref="B127:D127"/>
    <mergeCell ref="B128:I128"/>
    <mergeCell ref="B142:D142"/>
    <mergeCell ref="B143:G143"/>
    <mergeCell ref="B150:D150"/>
    <mergeCell ref="F150:H150"/>
    <mergeCell ref="B131:C131"/>
    <mergeCell ref="B132:I132"/>
    <mergeCell ref="B133:I133"/>
    <mergeCell ref="B136:D136"/>
    <mergeCell ref="B137:I137"/>
    <mergeCell ref="B139:D139"/>
    <mergeCell ref="B140:G140"/>
    <mergeCell ref="B1:I1"/>
    <mergeCell ref="B3:D3"/>
    <mergeCell ref="B10:C10"/>
    <mergeCell ref="B12:I12"/>
    <mergeCell ref="B13:G13"/>
    <mergeCell ref="B14:I14"/>
    <mergeCell ref="B15:D15"/>
    <mergeCell ref="B16:I16"/>
    <mergeCell ref="B18:I18"/>
    <mergeCell ref="B20:D20"/>
    <mergeCell ref="B22:D22"/>
    <mergeCell ref="B23:I23"/>
    <mergeCell ref="B24:D24"/>
    <mergeCell ref="E24:G24"/>
    <mergeCell ref="B26:D26"/>
    <mergeCell ref="B27:I27"/>
    <mergeCell ref="B28:H28"/>
    <mergeCell ref="B29:I29"/>
    <mergeCell ref="B30:I30"/>
    <mergeCell ref="B31:I31"/>
    <mergeCell ref="B32:I32"/>
    <mergeCell ref="B33:I33"/>
    <mergeCell ref="B34:I34"/>
    <mergeCell ref="B35:D35"/>
    <mergeCell ref="B36:D36"/>
    <mergeCell ref="B37:I37"/>
    <mergeCell ref="B39:D39"/>
    <mergeCell ref="B40:I40"/>
    <mergeCell ref="B41:I41"/>
    <mergeCell ref="B43:G43"/>
    <mergeCell ref="B45:D45"/>
    <mergeCell ref="B46:I46"/>
    <mergeCell ref="C47:E47"/>
    <mergeCell ref="C48:F48"/>
    <mergeCell ref="B50:I50"/>
    <mergeCell ref="B51:I51"/>
    <mergeCell ref="B52:D52"/>
    <mergeCell ref="B54:I54"/>
    <mergeCell ref="B55:D55"/>
    <mergeCell ref="B57:I57"/>
    <mergeCell ref="B58:I58"/>
    <mergeCell ref="B60:D60"/>
    <mergeCell ref="B61:I61"/>
    <mergeCell ref="B62:I62"/>
    <mergeCell ref="B63:I63"/>
    <mergeCell ref="B65:I65"/>
    <mergeCell ref="B67:D67"/>
    <mergeCell ref="B68:I68"/>
    <mergeCell ref="B69:I6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49" t="s">
        <v>269</v>
      </c>
      <c r="I1" s="124"/>
    </row>
    <row r="2">
      <c r="B2" s="125"/>
      <c r="C2" s="125"/>
      <c r="D2" s="125"/>
      <c r="E2" s="125"/>
      <c r="F2" s="125"/>
      <c r="G2" s="125"/>
      <c r="H2" s="125"/>
    </row>
    <row r="3">
      <c r="B3" s="137" t="s">
        <v>270</v>
      </c>
      <c r="C3" s="150"/>
      <c r="D3" s="150"/>
      <c r="E3" s="125"/>
      <c r="F3" s="125"/>
      <c r="G3" s="125"/>
      <c r="H3" s="125"/>
    </row>
    <row r="4">
      <c r="B4" s="135" t="s">
        <v>271</v>
      </c>
    </row>
    <row r="5">
      <c r="B5" s="139" t="s">
        <v>272</v>
      </c>
    </row>
    <row r="6">
      <c r="B6" s="139" t="s">
        <v>273</v>
      </c>
      <c r="D6" s="150"/>
      <c r="E6" s="151"/>
      <c r="F6" s="150"/>
      <c r="G6" s="150"/>
      <c r="H6" s="150"/>
    </row>
    <row r="7">
      <c r="B7" s="150"/>
      <c r="C7" s="150"/>
      <c r="D7" s="150"/>
      <c r="E7" s="125"/>
      <c r="F7" s="150"/>
      <c r="G7" s="150"/>
      <c r="H7" s="150"/>
    </row>
    <row r="8">
      <c r="B8" s="141" t="s">
        <v>274</v>
      </c>
      <c r="E8" s="125"/>
      <c r="F8" s="150"/>
      <c r="G8" s="150"/>
      <c r="H8" s="150"/>
    </row>
    <row r="9">
      <c r="B9" s="126" t="s">
        <v>275</v>
      </c>
    </row>
    <row r="10">
      <c r="B10" s="152" t="s">
        <v>276</v>
      </c>
      <c r="C10" s="150"/>
      <c r="D10" s="125"/>
      <c r="E10" s="125"/>
      <c r="F10" s="125"/>
      <c r="G10" s="125"/>
      <c r="H10" s="125"/>
    </row>
    <row r="11">
      <c r="B11" s="152" t="s">
        <v>277</v>
      </c>
      <c r="E11" s="125"/>
      <c r="F11" s="125"/>
      <c r="G11" s="125"/>
      <c r="H11" s="125"/>
    </row>
    <row r="12">
      <c r="B12" s="152" t="s">
        <v>278</v>
      </c>
      <c r="D12" s="150"/>
      <c r="E12" s="150"/>
      <c r="F12" s="150"/>
      <c r="G12" s="150"/>
      <c r="H12" s="150"/>
      <c r="I12" s="134"/>
    </row>
    <row r="13">
      <c r="B13" s="152" t="s">
        <v>279</v>
      </c>
      <c r="C13" s="150"/>
      <c r="D13" s="150"/>
      <c r="E13" s="150"/>
      <c r="F13" s="150"/>
      <c r="G13" s="150"/>
      <c r="H13" s="125"/>
      <c r="I13" s="125"/>
    </row>
    <row r="14">
      <c r="B14" s="126" t="s">
        <v>280</v>
      </c>
    </row>
    <row r="15">
      <c r="B15" s="153"/>
      <c r="C15" s="150"/>
      <c r="D15" s="150"/>
      <c r="E15" s="125"/>
      <c r="F15" s="154"/>
      <c r="G15" s="125"/>
      <c r="H15" s="125"/>
    </row>
    <row r="16">
      <c r="B16" s="137" t="s">
        <v>281</v>
      </c>
      <c r="E16" s="150"/>
      <c r="F16" s="150"/>
      <c r="G16" s="150"/>
      <c r="H16" s="150"/>
      <c r="I16" s="134"/>
    </row>
    <row r="17">
      <c r="B17" s="126" t="s">
        <v>282</v>
      </c>
      <c r="H17" s="125"/>
      <c r="I17" s="125"/>
    </row>
    <row r="18">
      <c r="B18" s="126" t="s">
        <v>283</v>
      </c>
    </row>
    <row r="19">
      <c r="B19" s="126" t="s">
        <v>284</v>
      </c>
    </row>
    <row r="20">
      <c r="B20" s="126" t="s">
        <v>285</v>
      </c>
    </row>
    <row r="21">
      <c r="B21" s="126" t="s">
        <v>286</v>
      </c>
      <c r="E21" s="125"/>
      <c r="F21" s="125"/>
      <c r="G21" s="125"/>
      <c r="H21" s="125"/>
    </row>
    <row r="22">
      <c r="B22" s="153"/>
      <c r="C22" s="150"/>
      <c r="D22" s="150"/>
      <c r="E22" s="125"/>
      <c r="F22" s="125"/>
      <c r="G22" s="125"/>
      <c r="H22" s="125"/>
    </row>
    <row r="23">
      <c r="B23" s="137" t="s">
        <v>287</v>
      </c>
      <c r="E23" s="150"/>
      <c r="F23" s="150"/>
      <c r="G23" s="150"/>
      <c r="H23" s="150"/>
      <c r="I23" s="138"/>
    </row>
    <row r="24">
      <c r="B24" s="126" t="s">
        <v>288</v>
      </c>
    </row>
    <row r="25">
      <c r="B25" s="126" t="s">
        <v>289</v>
      </c>
      <c r="H25" s="125"/>
      <c r="I25" s="125"/>
    </row>
    <row r="26">
      <c r="B26" s="153"/>
      <c r="C26" s="150"/>
      <c r="D26" s="150"/>
      <c r="E26" s="125"/>
      <c r="F26" s="125"/>
      <c r="G26" s="125"/>
      <c r="H26" s="125"/>
    </row>
    <row r="27">
      <c r="B27" s="137" t="s">
        <v>290</v>
      </c>
      <c r="E27" s="150"/>
      <c r="F27" s="150"/>
      <c r="G27" s="150"/>
      <c r="H27" s="150"/>
      <c r="I27" s="142"/>
    </row>
    <row r="28">
      <c r="B28" s="126" t="s">
        <v>291</v>
      </c>
      <c r="H28" s="150"/>
      <c r="I28" s="125"/>
    </row>
    <row r="29">
      <c r="B29" s="152" t="s">
        <v>292</v>
      </c>
      <c r="E29" s="150"/>
      <c r="F29" s="150"/>
      <c r="G29" s="150"/>
      <c r="H29" s="150"/>
      <c r="I29" s="142"/>
    </row>
    <row r="30">
      <c r="B30" s="152" t="s">
        <v>293</v>
      </c>
      <c r="E30" s="150"/>
      <c r="F30" s="150"/>
      <c r="G30" s="150"/>
      <c r="H30" s="150"/>
      <c r="I30" s="126"/>
    </row>
    <row r="31">
      <c r="B31" s="152" t="s">
        <v>294</v>
      </c>
      <c r="E31" s="150"/>
      <c r="F31" s="150"/>
      <c r="G31" s="150"/>
      <c r="H31" s="150"/>
      <c r="I31" s="142"/>
    </row>
    <row r="32">
      <c r="B32" s="126" t="s">
        <v>295</v>
      </c>
      <c r="H32" s="150"/>
      <c r="I32" s="150"/>
    </row>
    <row r="33">
      <c r="B33" s="153"/>
      <c r="C33" s="150"/>
      <c r="D33" s="150"/>
      <c r="E33" s="150"/>
      <c r="F33" s="150"/>
      <c r="G33" s="150"/>
      <c r="H33" s="150"/>
      <c r="I33" s="142"/>
    </row>
    <row r="34">
      <c r="B34" s="137" t="s">
        <v>296</v>
      </c>
      <c r="E34" s="150"/>
      <c r="F34" s="150"/>
      <c r="G34" s="150"/>
      <c r="H34" s="150"/>
      <c r="I34" s="142"/>
    </row>
    <row r="35">
      <c r="B35" s="126" t="s">
        <v>297</v>
      </c>
      <c r="H35" s="125"/>
      <c r="I35" s="125"/>
    </row>
    <row r="36">
      <c r="B36" s="126" t="s">
        <v>298</v>
      </c>
      <c r="F36" s="125"/>
      <c r="G36" s="125"/>
      <c r="H36" s="125"/>
    </row>
    <row r="37">
      <c r="B37" s="126" t="s">
        <v>299</v>
      </c>
    </row>
    <row r="38">
      <c r="B38" s="126" t="s">
        <v>300</v>
      </c>
      <c r="H38" s="125"/>
      <c r="I38" s="125"/>
    </row>
    <row r="39">
      <c r="B39" s="126" t="s">
        <v>301</v>
      </c>
      <c r="E39" s="125"/>
      <c r="F39" s="125"/>
      <c r="G39" s="125"/>
      <c r="H39" s="125"/>
    </row>
    <row r="40">
      <c r="B40" s="153"/>
      <c r="C40" s="150"/>
      <c r="D40" s="150"/>
      <c r="E40" s="150"/>
      <c r="F40" s="150"/>
      <c r="G40" s="150"/>
      <c r="H40" s="150"/>
      <c r="I40" s="142"/>
    </row>
    <row r="41">
      <c r="B41" s="137" t="s">
        <v>302</v>
      </c>
      <c r="E41" s="150"/>
      <c r="F41" s="150"/>
      <c r="G41" s="150"/>
      <c r="H41" s="150"/>
      <c r="I41" s="126"/>
    </row>
    <row r="42">
      <c r="B42" s="126" t="s">
        <v>303</v>
      </c>
    </row>
    <row r="43">
      <c r="B43" s="126" t="s">
        <v>304</v>
      </c>
    </row>
    <row r="44">
      <c r="B44" s="126" t="s">
        <v>305</v>
      </c>
    </row>
    <row r="45">
      <c r="B45" s="126" t="s">
        <v>306</v>
      </c>
    </row>
    <row r="46">
      <c r="B46" s="153"/>
      <c r="C46" s="150"/>
      <c r="D46" s="150"/>
      <c r="E46" s="150"/>
      <c r="F46" s="150"/>
      <c r="G46" s="150"/>
      <c r="H46" s="150"/>
      <c r="I46" s="126"/>
    </row>
    <row r="47">
      <c r="B47" s="155" t="s">
        <v>307</v>
      </c>
      <c r="E47" s="150"/>
      <c r="F47" s="125"/>
      <c r="G47" s="125"/>
      <c r="H47" s="125"/>
    </row>
    <row r="48">
      <c r="B48" s="156" t="s">
        <v>308</v>
      </c>
      <c r="E48" s="125"/>
      <c r="F48" s="125"/>
      <c r="G48" s="125"/>
      <c r="H48" s="125"/>
    </row>
    <row r="49">
      <c r="B49" s="152" t="s">
        <v>309</v>
      </c>
      <c r="D49" s="125"/>
      <c r="E49" s="125"/>
      <c r="F49" s="125"/>
      <c r="G49" s="125"/>
      <c r="H49" s="125"/>
    </row>
    <row r="50">
      <c r="B50" s="152" t="s">
        <v>310</v>
      </c>
      <c r="D50" s="150"/>
      <c r="E50" s="150"/>
      <c r="F50" s="150"/>
      <c r="G50" s="150"/>
      <c r="H50" s="150"/>
      <c r="I50" s="126"/>
    </row>
    <row r="51">
      <c r="B51" s="152" t="s">
        <v>311</v>
      </c>
      <c r="C51" s="150"/>
      <c r="D51" s="150"/>
      <c r="E51" s="150"/>
      <c r="F51" s="150"/>
      <c r="G51" s="150"/>
      <c r="H51" s="150"/>
      <c r="I51" s="126"/>
    </row>
    <row r="52">
      <c r="B52" s="126" t="s">
        <v>312</v>
      </c>
      <c r="E52" s="125"/>
      <c r="F52" s="125"/>
      <c r="G52" s="125"/>
      <c r="H52" s="125"/>
    </row>
    <row r="53">
      <c r="B53" s="144" t="s">
        <v>313</v>
      </c>
    </row>
    <row r="54">
      <c r="B54" s="144" t="s">
        <v>314</v>
      </c>
    </row>
    <row r="55">
      <c r="B55" s="157"/>
      <c r="C55" s="150"/>
      <c r="D55" s="150"/>
      <c r="E55" s="125"/>
      <c r="F55" s="125"/>
      <c r="G55" s="125"/>
      <c r="H55" s="125"/>
    </row>
    <row r="56">
      <c r="B56" s="137" t="s">
        <v>315</v>
      </c>
      <c r="E56" s="125"/>
      <c r="F56" s="125"/>
      <c r="G56" s="125"/>
      <c r="H56" s="125"/>
    </row>
    <row r="57">
      <c r="B57" s="144" t="s">
        <v>316</v>
      </c>
    </row>
    <row r="58">
      <c r="B58" s="144" t="s">
        <v>317</v>
      </c>
      <c r="H58" s="150"/>
      <c r="I58" s="150"/>
    </row>
    <row r="59">
      <c r="B59" s="145"/>
      <c r="C59" s="125"/>
      <c r="D59" s="125"/>
      <c r="E59" s="125"/>
      <c r="F59" s="125"/>
      <c r="G59" s="125"/>
      <c r="H59" s="125"/>
    </row>
    <row r="60">
      <c r="B60" s="137" t="s">
        <v>318</v>
      </c>
      <c r="E60" s="125"/>
      <c r="F60" s="125"/>
      <c r="G60" s="125"/>
      <c r="H60" s="125"/>
    </row>
    <row r="61">
      <c r="B61" s="144" t="s">
        <v>319</v>
      </c>
      <c r="F61" s="150"/>
      <c r="G61" s="150"/>
      <c r="H61" s="150"/>
      <c r="I61" s="126"/>
    </row>
    <row r="62">
      <c r="B62" s="144" t="s">
        <v>320</v>
      </c>
    </row>
    <row r="63">
      <c r="B63" s="144" t="s">
        <v>321</v>
      </c>
      <c r="E63" s="150"/>
      <c r="F63" s="150"/>
      <c r="G63" s="150"/>
      <c r="H63" s="150"/>
      <c r="I63" s="126"/>
    </row>
    <row r="64">
      <c r="B64" s="145"/>
      <c r="C64" s="125"/>
      <c r="D64" s="125"/>
      <c r="E64" s="125"/>
      <c r="F64" s="125"/>
      <c r="G64" s="125"/>
      <c r="H64" s="125"/>
    </row>
    <row r="65">
      <c r="B65" s="137" t="s">
        <v>322</v>
      </c>
      <c r="E65" s="150"/>
      <c r="F65" s="150"/>
      <c r="G65" s="150"/>
      <c r="H65" s="150"/>
      <c r="I65" s="126"/>
    </row>
    <row r="66">
      <c r="B66" s="144" t="s">
        <v>323</v>
      </c>
    </row>
    <row r="67">
      <c r="B67" s="144" t="s">
        <v>324</v>
      </c>
      <c r="E67" s="125"/>
      <c r="F67" s="125"/>
      <c r="G67" s="125"/>
      <c r="H67" s="125"/>
    </row>
    <row r="68">
      <c r="B68" s="157"/>
      <c r="C68" s="150"/>
      <c r="D68" s="150"/>
      <c r="E68" s="150"/>
      <c r="F68" s="150"/>
      <c r="G68" s="150"/>
      <c r="H68" s="150"/>
      <c r="I68" s="126"/>
    </row>
    <row r="69">
      <c r="B69" s="137" t="s">
        <v>325</v>
      </c>
      <c r="E69" s="150"/>
      <c r="F69" s="150"/>
      <c r="G69" s="150"/>
      <c r="H69" s="150"/>
      <c r="I69" s="126"/>
    </row>
    <row r="70">
      <c r="B70" s="144" t="s">
        <v>326</v>
      </c>
      <c r="H70" s="125"/>
      <c r="I70" s="125"/>
    </row>
    <row r="71">
      <c r="B71" s="144" t="s">
        <v>327</v>
      </c>
      <c r="H71" s="150"/>
      <c r="I71" s="150"/>
    </row>
    <row r="72">
      <c r="B72" s="157"/>
      <c r="C72" s="150"/>
      <c r="D72" s="150"/>
      <c r="E72" s="150"/>
      <c r="F72" s="150"/>
      <c r="G72" s="150"/>
      <c r="H72" s="125"/>
      <c r="I72" s="125"/>
    </row>
    <row r="73">
      <c r="B73" s="137" t="s">
        <v>328</v>
      </c>
      <c r="E73" s="125"/>
      <c r="F73" s="125"/>
      <c r="G73" s="125"/>
      <c r="H73" s="125"/>
    </row>
    <row r="74">
      <c r="B74" s="144" t="s">
        <v>329</v>
      </c>
    </row>
    <row r="75">
      <c r="B75" s="152" t="s">
        <v>330</v>
      </c>
      <c r="E75" s="150"/>
      <c r="F75" s="150"/>
      <c r="G75" s="150"/>
      <c r="H75" s="150"/>
      <c r="I75" s="144"/>
    </row>
    <row r="76">
      <c r="B76" s="152" t="s">
        <v>331</v>
      </c>
      <c r="H76" s="125"/>
      <c r="I76" s="125"/>
    </row>
    <row r="77">
      <c r="B77" s="152" t="s">
        <v>332</v>
      </c>
      <c r="E77" s="125"/>
      <c r="F77" s="125"/>
      <c r="G77" s="125"/>
      <c r="H77" s="125"/>
    </row>
    <row r="78">
      <c r="B78" s="157"/>
      <c r="C78" s="150"/>
      <c r="D78" s="150"/>
      <c r="E78" s="125"/>
      <c r="F78" s="125"/>
      <c r="G78" s="125"/>
      <c r="H78" s="125"/>
    </row>
    <row r="79">
      <c r="B79" s="137" t="s">
        <v>333</v>
      </c>
      <c r="E79" s="150"/>
      <c r="F79" s="150"/>
      <c r="G79" s="150"/>
      <c r="H79" s="150"/>
      <c r="I79" s="144"/>
    </row>
    <row r="80">
      <c r="B80" s="144" t="s">
        <v>334</v>
      </c>
    </row>
    <row r="81">
      <c r="B81" s="152" t="s">
        <v>335</v>
      </c>
      <c r="D81" s="150"/>
      <c r="E81" s="125"/>
      <c r="F81" s="125"/>
      <c r="G81" s="125"/>
      <c r="H81" s="125"/>
    </row>
    <row r="82">
      <c r="B82" s="152" t="s">
        <v>336</v>
      </c>
      <c r="C82" s="125"/>
      <c r="D82" s="125"/>
      <c r="E82" s="125"/>
      <c r="F82" s="125"/>
      <c r="G82" s="125"/>
      <c r="H82" s="125"/>
    </row>
    <row r="83">
      <c r="B83" s="152" t="s">
        <v>337</v>
      </c>
      <c r="E83" s="150"/>
      <c r="F83" s="150"/>
      <c r="G83" s="150"/>
      <c r="H83" s="150"/>
      <c r="I83" s="144"/>
    </row>
    <row r="84">
      <c r="B84" s="152" t="s">
        <v>338</v>
      </c>
      <c r="E84" s="125"/>
      <c r="F84" s="125"/>
      <c r="G84" s="125"/>
      <c r="H84" s="125"/>
    </row>
    <row r="85">
      <c r="B85" s="158" t="s">
        <v>339</v>
      </c>
    </row>
    <row r="86">
      <c r="B86" s="157"/>
      <c r="C86" s="150"/>
      <c r="D86" s="150"/>
      <c r="E86" s="125"/>
      <c r="F86" s="125"/>
      <c r="G86" s="125"/>
      <c r="H86" s="125"/>
    </row>
    <row r="87">
      <c r="B87" s="137" t="s">
        <v>340</v>
      </c>
      <c r="E87" s="125"/>
      <c r="F87" s="125"/>
      <c r="G87" s="125"/>
      <c r="H87" s="125"/>
    </row>
    <row r="88">
      <c r="B88" s="144" t="s">
        <v>341</v>
      </c>
    </row>
    <row r="89">
      <c r="B89" s="144" t="s">
        <v>342</v>
      </c>
      <c r="E89" s="150"/>
      <c r="F89" s="150"/>
      <c r="G89" s="150"/>
      <c r="H89" s="150"/>
      <c r="I89" s="144"/>
    </row>
    <row r="90">
      <c r="B90" s="145"/>
      <c r="C90" s="125"/>
      <c r="D90" s="125"/>
      <c r="E90" s="125"/>
      <c r="F90" s="125"/>
      <c r="G90" s="125"/>
      <c r="H90" s="125"/>
    </row>
    <row r="91">
      <c r="B91" s="137" t="s">
        <v>343</v>
      </c>
      <c r="C91" s="150"/>
      <c r="D91" s="150"/>
      <c r="E91" s="150"/>
      <c r="F91" s="150"/>
      <c r="G91" s="150"/>
      <c r="H91" s="150"/>
      <c r="I91" s="144"/>
    </row>
    <row r="92">
      <c r="B92" s="144" t="s">
        <v>344</v>
      </c>
      <c r="E92" s="150"/>
      <c r="F92" s="150"/>
      <c r="G92" s="150"/>
      <c r="H92" s="150"/>
      <c r="I92" s="144"/>
    </row>
    <row r="93">
      <c r="B93" s="152" t="s">
        <v>345</v>
      </c>
      <c r="C93" s="150"/>
      <c r="D93" s="159" t="s">
        <v>346</v>
      </c>
      <c r="E93" s="150"/>
      <c r="F93" s="150"/>
      <c r="G93" s="150"/>
      <c r="H93" s="150"/>
      <c r="I93" s="144"/>
    </row>
    <row r="94">
      <c r="B94" s="152" t="s">
        <v>347</v>
      </c>
      <c r="D94" s="159" t="s">
        <v>348</v>
      </c>
      <c r="H94" s="125"/>
      <c r="I94" s="125"/>
    </row>
    <row r="95">
      <c r="B95" s="152" t="s">
        <v>349</v>
      </c>
      <c r="C95" s="150"/>
      <c r="D95" s="159" t="s">
        <v>350</v>
      </c>
    </row>
    <row r="96">
      <c r="B96" s="158" t="s">
        <v>351</v>
      </c>
    </row>
    <row r="97">
      <c r="B97" s="145"/>
      <c r="C97" s="125"/>
      <c r="D97" s="125"/>
      <c r="E97" s="125"/>
      <c r="F97" s="125"/>
      <c r="G97" s="125"/>
      <c r="H97" s="125"/>
    </row>
    <row r="98">
      <c r="B98" s="137" t="s">
        <v>352</v>
      </c>
      <c r="E98" s="125"/>
      <c r="F98" s="125"/>
      <c r="G98" s="125"/>
      <c r="H98" s="125"/>
    </row>
    <row r="99">
      <c r="B99" s="144" t="s">
        <v>353</v>
      </c>
      <c r="E99" s="150"/>
      <c r="F99" s="150"/>
      <c r="G99" s="150"/>
      <c r="H99" s="150"/>
      <c r="I99" s="144"/>
    </row>
    <row r="100">
      <c r="B100" s="144" t="s">
        <v>354</v>
      </c>
      <c r="I100" s="150"/>
    </row>
    <row r="101">
      <c r="B101" s="144" t="s">
        <v>355</v>
      </c>
    </row>
    <row r="102">
      <c r="B102" s="144" t="s">
        <v>356</v>
      </c>
    </row>
    <row r="103">
      <c r="B103" s="157"/>
      <c r="C103" s="150"/>
      <c r="D103" s="150"/>
      <c r="E103" s="150"/>
      <c r="F103" s="150"/>
      <c r="G103" s="150"/>
      <c r="H103" s="150"/>
      <c r="I103" s="144"/>
    </row>
    <row r="104">
      <c r="B104" s="137" t="s">
        <v>357</v>
      </c>
      <c r="E104" s="150"/>
      <c r="F104" s="150"/>
      <c r="G104" s="150"/>
      <c r="H104" s="150"/>
      <c r="I104" s="144"/>
    </row>
    <row r="105">
      <c r="B105" s="135" t="s">
        <v>266</v>
      </c>
      <c r="H105" s="125"/>
      <c r="I105" s="125"/>
    </row>
    <row r="106">
      <c r="B106" s="125"/>
      <c r="C106" s="125"/>
      <c r="D106" s="125"/>
      <c r="E106" s="125"/>
      <c r="F106" s="125"/>
      <c r="G106" s="125"/>
      <c r="H106" s="125"/>
    </row>
    <row r="107">
      <c r="B107" s="139" t="s">
        <v>75</v>
      </c>
      <c r="C107" s="147" t="s">
        <v>169</v>
      </c>
      <c r="D107" s="148">
        <f>FillIn!D52</f>
        <v>45978</v>
      </c>
      <c r="E107" s="150"/>
      <c r="F107" s="150"/>
      <c r="G107" s="150"/>
      <c r="H107" s="150"/>
      <c r="I107" s="144"/>
    </row>
    <row r="108">
      <c r="B108" s="150"/>
      <c r="C108" s="150"/>
      <c r="D108" s="150"/>
      <c r="E108" s="150"/>
      <c r="F108" s="150"/>
      <c r="G108" s="150"/>
      <c r="H108" s="150"/>
      <c r="I108" s="144"/>
    </row>
    <row r="109">
      <c r="B109" s="125"/>
      <c r="C109" s="125"/>
      <c r="D109" s="125"/>
      <c r="E109" s="125"/>
      <c r="F109" s="125"/>
      <c r="G109" s="125"/>
      <c r="H109" s="125"/>
    </row>
    <row r="110">
      <c r="B110" s="150"/>
      <c r="C110" s="150"/>
      <c r="D110" s="150"/>
      <c r="E110" s="125"/>
      <c r="F110" s="125"/>
      <c r="G110" s="125"/>
      <c r="H110" s="125"/>
    </row>
    <row r="111">
      <c r="B111" s="150"/>
      <c r="C111" s="150"/>
      <c r="D111" s="150"/>
      <c r="E111" s="150"/>
      <c r="F111" s="150"/>
      <c r="G111" s="150"/>
      <c r="H111" s="150"/>
      <c r="I111" s="144"/>
    </row>
    <row r="112">
      <c r="B112" s="144" t="s">
        <v>268</v>
      </c>
      <c r="E112" s="125"/>
      <c r="F112" s="125"/>
      <c r="G112" s="125"/>
      <c r="H112" s="125"/>
    </row>
    <row r="113">
      <c r="B113" s="130" t="str">
        <f>FillIn!M4</f>
        <v>de heer G. Aslan</v>
      </c>
      <c r="C113" s="150"/>
      <c r="D113" s="150"/>
      <c r="E113" s="125"/>
      <c r="F113" s="125"/>
      <c r="G113" s="125"/>
      <c r="H113" s="125"/>
    </row>
  </sheetData>
  <mergeCells count="82">
    <mergeCell ref="B65:D65"/>
    <mergeCell ref="B66:I66"/>
    <mergeCell ref="B67:D67"/>
    <mergeCell ref="B69:D69"/>
    <mergeCell ref="B70:G70"/>
    <mergeCell ref="B71:G71"/>
    <mergeCell ref="B74:I74"/>
    <mergeCell ref="B73:D73"/>
    <mergeCell ref="B75:D75"/>
    <mergeCell ref="B76:G76"/>
    <mergeCell ref="B77:D77"/>
    <mergeCell ref="B79:D79"/>
    <mergeCell ref="B80:I80"/>
    <mergeCell ref="B81:C81"/>
    <mergeCell ref="B83:D83"/>
    <mergeCell ref="B84:D84"/>
    <mergeCell ref="B85:I85"/>
    <mergeCell ref="B87:D87"/>
    <mergeCell ref="B88:I88"/>
    <mergeCell ref="B89:D89"/>
    <mergeCell ref="B92:D92"/>
    <mergeCell ref="B101:I101"/>
    <mergeCell ref="B102:I102"/>
    <mergeCell ref="B104:D104"/>
    <mergeCell ref="B105:G105"/>
    <mergeCell ref="B112:D112"/>
    <mergeCell ref="B94:C94"/>
    <mergeCell ref="D94:G94"/>
    <mergeCell ref="D95:I95"/>
    <mergeCell ref="B96:I96"/>
    <mergeCell ref="B98:D98"/>
    <mergeCell ref="B99:D99"/>
    <mergeCell ref="B100:H100"/>
    <mergeCell ref="B1:H1"/>
    <mergeCell ref="B4:I4"/>
    <mergeCell ref="B5:I5"/>
    <mergeCell ref="B6:C6"/>
    <mergeCell ref="B8:D8"/>
    <mergeCell ref="B9:I9"/>
    <mergeCell ref="B11:D11"/>
    <mergeCell ref="B12:C12"/>
    <mergeCell ref="B14:I14"/>
    <mergeCell ref="B16:D16"/>
    <mergeCell ref="B17:G17"/>
    <mergeCell ref="B18:I18"/>
    <mergeCell ref="B19:I19"/>
    <mergeCell ref="B20:I20"/>
    <mergeCell ref="B21:D21"/>
    <mergeCell ref="B23:D23"/>
    <mergeCell ref="B24:I24"/>
    <mergeCell ref="B25:G25"/>
    <mergeCell ref="B27:D27"/>
    <mergeCell ref="B28:G28"/>
    <mergeCell ref="B29:D29"/>
    <mergeCell ref="B30:D30"/>
    <mergeCell ref="B31:D31"/>
    <mergeCell ref="B32:G32"/>
    <mergeCell ref="B34:D34"/>
    <mergeCell ref="B35:G35"/>
    <mergeCell ref="B36:E36"/>
    <mergeCell ref="B37:I37"/>
    <mergeCell ref="B38:G38"/>
    <mergeCell ref="B39:D39"/>
    <mergeCell ref="B41:D41"/>
    <mergeCell ref="B42:I42"/>
    <mergeCell ref="B43:I43"/>
    <mergeCell ref="B44:I44"/>
    <mergeCell ref="B45:I45"/>
    <mergeCell ref="B47:D47"/>
    <mergeCell ref="B48:D48"/>
    <mergeCell ref="B49:C49"/>
    <mergeCell ref="B50:C50"/>
    <mergeCell ref="B52:D52"/>
    <mergeCell ref="B53:I53"/>
    <mergeCell ref="B54:I54"/>
    <mergeCell ref="B56:D56"/>
    <mergeCell ref="B57:I57"/>
    <mergeCell ref="B58:G58"/>
    <mergeCell ref="B60:D60"/>
    <mergeCell ref="B61:E61"/>
    <mergeCell ref="B62:I62"/>
    <mergeCell ref="B63:D63"/>
  </mergeCells>
  <hyperlinks>
    <hyperlink r:id="rId1" ref="D93"/>
    <hyperlink r:id="rId2" ref="D94"/>
    <hyperlink r:id="rId3" ref="D95"/>
  </hyperlinks>
  <printOptions gridLines="1" horizontalCentered="1"/>
  <pageMargins bottom="0.75" footer="0.0" header="0.0" left="0.7" right="0.7" top="0.75"/>
  <pageSetup fitToHeight="0" paperSize="9" cellComments="atEnd" orientation="portrait" pageOrder="overThenDown"/>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24" t="s">
        <v>358</v>
      </c>
    </row>
    <row r="2">
      <c r="B2" s="125"/>
      <c r="C2" s="125"/>
      <c r="D2" s="125"/>
      <c r="E2" s="125"/>
      <c r="F2" s="125"/>
      <c r="G2" s="125"/>
      <c r="H2" s="125"/>
    </row>
    <row r="3">
      <c r="B3" s="135" t="s">
        <v>359</v>
      </c>
    </row>
    <row r="4">
      <c r="B4" s="139" t="s">
        <v>360</v>
      </c>
    </row>
    <row r="5">
      <c r="B5" s="139" t="s">
        <v>361</v>
      </c>
    </row>
    <row r="6">
      <c r="B6" s="150"/>
      <c r="C6" s="150"/>
      <c r="D6" s="150"/>
      <c r="E6" s="125"/>
      <c r="F6" s="150"/>
      <c r="G6" s="150"/>
      <c r="H6" s="150"/>
    </row>
    <row r="7">
      <c r="B7" s="160" t="s">
        <v>362</v>
      </c>
      <c r="E7" s="125"/>
      <c r="F7" s="150"/>
      <c r="G7" s="150"/>
      <c r="H7" s="150"/>
    </row>
    <row r="8">
      <c r="B8" s="161" t="s">
        <v>363</v>
      </c>
    </row>
    <row r="9">
      <c r="B9" s="144" t="s">
        <v>364</v>
      </c>
      <c r="E9" s="162"/>
      <c r="F9" s="162"/>
      <c r="G9" s="162"/>
      <c r="H9" s="162"/>
      <c r="I9" s="126"/>
    </row>
    <row r="10">
      <c r="B10" s="144" t="s">
        <v>365</v>
      </c>
      <c r="E10" s="163"/>
      <c r="F10" s="163"/>
      <c r="G10" s="163"/>
      <c r="H10" s="163"/>
    </row>
    <row r="11">
      <c r="B11" s="144" t="s">
        <v>366</v>
      </c>
      <c r="C11" s="162"/>
      <c r="D11" s="162"/>
      <c r="E11" s="163"/>
      <c r="F11" s="163"/>
      <c r="G11" s="163"/>
      <c r="H11" s="163"/>
    </row>
    <row r="12">
      <c r="B12" s="144" t="s">
        <v>367</v>
      </c>
      <c r="E12" s="162"/>
      <c r="F12" s="162"/>
      <c r="G12" s="162"/>
      <c r="H12" s="162"/>
      <c r="I12" s="134"/>
    </row>
    <row r="13">
      <c r="B13" s="144" t="s">
        <v>368</v>
      </c>
      <c r="E13" s="162"/>
      <c r="F13" s="162"/>
      <c r="G13" s="162"/>
      <c r="H13" s="163"/>
      <c r="I13" s="125"/>
    </row>
    <row r="14">
      <c r="B14" s="144" t="s">
        <v>369</v>
      </c>
      <c r="E14" s="150"/>
      <c r="F14" s="150"/>
      <c r="G14" s="150"/>
      <c r="H14" s="150"/>
      <c r="I14" s="126"/>
    </row>
    <row r="15">
      <c r="B15" s="144" t="s">
        <v>370</v>
      </c>
      <c r="E15" s="125"/>
      <c r="F15" s="125"/>
      <c r="G15" s="125"/>
      <c r="H15" s="125"/>
    </row>
    <row r="16">
      <c r="B16" s="164" t="s">
        <v>371</v>
      </c>
      <c r="E16" s="150"/>
      <c r="F16" s="150"/>
      <c r="G16" s="150"/>
      <c r="H16" s="150"/>
      <c r="I16" s="134"/>
    </row>
    <row r="17">
      <c r="B17" s="165" t="s">
        <v>372</v>
      </c>
      <c r="E17" s="150"/>
      <c r="F17" s="150"/>
      <c r="G17" s="150"/>
      <c r="H17" s="125"/>
      <c r="I17" s="125"/>
    </row>
    <row r="18">
      <c r="B18" s="144" t="s">
        <v>373</v>
      </c>
      <c r="H18" s="150"/>
      <c r="I18" s="150"/>
    </row>
    <row r="19">
      <c r="B19" s="144" t="s">
        <v>374</v>
      </c>
    </row>
    <row r="20">
      <c r="B20" s="153"/>
      <c r="C20" s="150"/>
      <c r="D20" s="150"/>
      <c r="E20" s="150"/>
      <c r="F20" s="150"/>
      <c r="G20" s="150"/>
      <c r="H20" s="150"/>
      <c r="I20" s="126"/>
    </row>
    <row r="21">
      <c r="B21" s="160" t="s">
        <v>375</v>
      </c>
      <c r="E21" s="125"/>
      <c r="F21" s="125"/>
      <c r="G21" s="125"/>
      <c r="H21" s="125"/>
    </row>
    <row r="22">
      <c r="B22" s="126" t="s">
        <v>376</v>
      </c>
      <c r="E22" s="125"/>
      <c r="F22" s="125"/>
      <c r="G22" s="125"/>
      <c r="H22" s="125"/>
    </row>
    <row r="23">
      <c r="B23" s="144" t="s">
        <v>377</v>
      </c>
      <c r="E23" s="150"/>
      <c r="F23" s="150"/>
      <c r="G23" s="150"/>
      <c r="H23" s="150"/>
      <c r="I23" s="138"/>
    </row>
    <row r="24">
      <c r="B24" s="165" t="s">
        <v>378</v>
      </c>
      <c r="E24" s="150"/>
      <c r="F24" s="150"/>
      <c r="G24" s="150"/>
      <c r="H24" s="150"/>
      <c r="I24" s="126"/>
    </row>
    <row r="25">
      <c r="B25" s="144" t="s">
        <v>379</v>
      </c>
      <c r="H25" s="125"/>
      <c r="I25" s="125"/>
    </row>
    <row r="26">
      <c r="B26" s="144" t="s">
        <v>380</v>
      </c>
      <c r="I26" s="125"/>
    </row>
    <row r="27">
      <c r="B27" s="153"/>
      <c r="C27" s="150"/>
      <c r="D27" s="150"/>
      <c r="E27" s="150"/>
      <c r="F27" s="150"/>
      <c r="G27" s="150"/>
      <c r="H27" s="150"/>
      <c r="I27" s="142"/>
    </row>
    <row r="28">
      <c r="B28" s="166" t="s">
        <v>381</v>
      </c>
      <c r="E28" s="150"/>
      <c r="F28" s="150"/>
      <c r="G28" s="150"/>
      <c r="H28" s="150"/>
      <c r="I28" s="125"/>
    </row>
    <row r="29">
      <c r="B29" s="126" t="s">
        <v>382</v>
      </c>
      <c r="E29" s="150"/>
      <c r="F29" s="150"/>
      <c r="G29" s="150"/>
      <c r="H29" s="150"/>
      <c r="I29" s="142"/>
    </row>
    <row r="30">
      <c r="B30" s="126" t="s">
        <v>383</v>
      </c>
      <c r="E30" s="162"/>
      <c r="F30" s="162"/>
      <c r="G30" s="162"/>
      <c r="H30" s="162"/>
      <c r="I30" s="126"/>
    </row>
    <row r="31">
      <c r="B31" s="126" t="s">
        <v>384</v>
      </c>
    </row>
    <row r="32">
      <c r="B32" s="126" t="s">
        <v>385</v>
      </c>
      <c r="E32" s="162"/>
      <c r="F32" s="162"/>
      <c r="G32" s="162"/>
      <c r="H32" s="162"/>
      <c r="I32" s="150"/>
    </row>
    <row r="33">
      <c r="B33" s="126" t="s">
        <v>386</v>
      </c>
      <c r="E33" s="150"/>
      <c r="F33" s="150"/>
      <c r="G33" s="150"/>
      <c r="H33" s="150"/>
      <c r="I33" s="142"/>
    </row>
    <row r="34">
      <c r="B34" s="126" t="s">
        <v>387</v>
      </c>
    </row>
    <row r="35">
      <c r="B35" s="135" t="s">
        <v>388</v>
      </c>
      <c r="E35" s="150"/>
      <c r="F35" s="150"/>
      <c r="G35" s="150"/>
      <c r="H35" s="125"/>
      <c r="I35" s="125"/>
    </row>
    <row r="36">
      <c r="B36" s="126" t="s">
        <v>389</v>
      </c>
      <c r="H36" s="125"/>
      <c r="I36" s="125"/>
    </row>
    <row r="37">
      <c r="B37" s="153"/>
      <c r="C37" s="162"/>
      <c r="D37" s="150"/>
      <c r="E37" s="150"/>
      <c r="F37" s="150"/>
      <c r="G37" s="150"/>
      <c r="H37" s="150"/>
      <c r="I37" s="126"/>
    </row>
    <row r="38">
      <c r="B38" s="160" t="s">
        <v>390</v>
      </c>
      <c r="E38" s="150"/>
      <c r="F38" s="150"/>
      <c r="G38" s="150"/>
      <c r="H38" s="125"/>
      <c r="I38" s="125"/>
    </row>
    <row r="39">
      <c r="B39" s="126" t="s">
        <v>391</v>
      </c>
      <c r="H39" s="125"/>
      <c r="I39" s="125"/>
    </row>
    <row r="40">
      <c r="B40" s="126" t="s">
        <v>392</v>
      </c>
      <c r="E40" s="150"/>
      <c r="F40" s="150"/>
      <c r="G40" s="150"/>
      <c r="H40" s="150"/>
      <c r="I40" s="142"/>
    </row>
    <row r="41">
      <c r="B41" s="126" t="s">
        <v>393</v>
      </c>
      <c r="E41" s="150"/>
      <c r="F41" s="150"/>
      <c r="G41" s="150"/>
      <c r="H41" s="150"/>
      <c r="I41" s="126"/>
    </row>
    <row r="42">
      <c r="B42" s="137" t="s">
        <v>394</v>
      </c>
      <c r="E42" s="150"/>
      <c r="F42" s="150"/>
      <c r="G42" s="150"/>
      <c r="H42" s="150"/>
      <c r="I42" s="126"/>
    </row>
    <row r="43">
      <c r="B43" s="126" t="s">
        <v>395</v>
      </c>
      <c r="E43" s="150"/>
      <c r="F43" s="150"/>
      <c r="G43" s="150"/>
      <c r="H43" s="150"/>
      <c r="I43" s="126"/>
    </row>
    <row r="44">
      <c r="B44" s="153"/>
      <c r="C44" s="150"/>
      <c r="D44" s="150"/>
      <c r="E44" s="150"/>
      <c r="F44" s="150"/>
      <c r="G44" s="150"/>
      <c r="H44" s="150"/>
      <c r="I44" s="126"/>
    </row>
    <row r="45">
      <c r="B45" s="160" t="s">
        <v>396</v>
      </c>
      <c r="E45" s="150"/>
      <c r="F45" s="150"/>
      <c r="G45" s="150"/>
      <c r="H45" s="150"/>
      <c r="I45" s="126"/>
    </row>
    <row r="46">
      <c r="B46" s="126" t="s">
        <v>397</v>
      </c>
      <c r="H46" s="150"/>
      <c r="I46" s="150"/>
    </row>
    <row r="47">
      <c r="B47" s="156" t="s">
        <v>398</v>
      </c>
      <c r="E47" s="150"/>
      <c r="F47" s="125"/>
      <c r="G47" s="125"/>
      <c r="H47" s="125"/>
    </row>
    <row r="48">
      <c r="B48" s="156" t="s">
        <v>399</v>
      </c>
      <c r="E48" s="125"/>
      <c r="F48" s="125"/>
      <c r="G48" s="125"/>
      <c r="H48" s="125"/>
    </row>
    <row r="49">
      <c r="B49" s="126" t="s">
        <v>400</v>
      </c>
      <c r="H49" s="125"/>
      <c r="I49" s="125"/>
    </row>
    <row r="50">
      <c r="B50" s="137" t="s">
        <v>401</v>
      </c>
      <c r="E50" s="150"/>
      <c r="F50" s="150"/>
      <c r="G50" s="150"/>
      <c r="H50" s="150"/>
      <c r="I50" s="126"/>
    </row>
    <row r="51">
      <c r="B51" s="167"/>
      <c r="C51" s="150"/>
      <c r="D51" s="150"/>
      <c r="E51" s="150"/>
      <c r="F51" s="150"/>
      <c r="G51" s="150"/>
      <c r="H51" s="150"/>
      <c r="I51" s="126"/>
    </row>
    <row r="52">
      <c r="B52" s="160" t="s">
        <v>402</v>
      </c>
      <c r="E52" s="125"/>
      <c r="F52" s="125"/>
      <c r="G52" s="125"/>
      <c r="H52" s="125"/>
    </row>
    <row r="53">
      <c r="B53" s="126" t="s">
        <v>403</v>
      </c>
      <c r="E53" s="162"/>
      <c r="F53" s="162"/>
      <c r="G53" s="162"/>
      <c r="H53" s="162"/>
      <c r="I53" s="144"/>
    </row>
    <row r="54">
      <c r="B54" s="126" t="s">
        <v>404</v>
      </c>
      <c r="E54" s="162"/>
      <c r="F54" s="162"/>
      <c r="G54" s="162"/>
      <c r="H54" s="162"/>
      <c r="I54" s="144"/>
    </row>
    <row r="55">
      <c r="B55" s="126" t="s">
        <v>405</v>
      </c>
      <c r="E55" s="163"/>
      <c r="F55" s="163"/>
      <c r="G55" s="163"/>
      <c r="H55" s="163"/>
    </row>
    <row r="56">
      <c r="B56" s="126" t="s">
        <v>406</v>
      </c>
      <c r="E56" s="125"/>
      <c r="F56" s="125"/>
      <c r="G56" s="125"/>
      <c r="H56" s="125"/>
    </row>
    <row r="57">
      <c r="B57" s="153"/>
      <c r="C57" s="150"/>
      <c r="D57" s="150"/>
      <c r="E57" s="150"/>
      <c r="F57" s="150"/>
      <c r="G57" s="150"/>
      <c r="H57" s="150"/>
      <c r="I57" s="144"/>
    </row>
    <row r="58">
      <c r="B58" s="168" t="s">
        <v>407</v>
      </c>
      <c r="E58" s="150"/>
      <c r="F58" s="150"/>
      <c r="G58" s="150"/>
      <c r="H58" s="150"/>
      <c r="I58" s="150"/>
    </row>
    <row r="59">
      <c r="B59" s="144" t="s">
        <v>408</v>
      </c>
      <c r="E59" s="125"/>
      <c r="F59" s="125"/>
      <c r="G59" s="125"/>
      <c r="H59" s="125"/>
    </row>
    <row r="60">
      <c r="B60" s="144" t="s">
        <v>409</v>
      </c>
      <c r="H60" s="125"/>
      <c r="I60" s="125"/>
    </row>
    <row r="61">
      <c r="B61" s="135" t="s">
        <v>410</v>
      </c>
      <c r="E61" s="150"/>
      <c r="F61" s="150"/>
      <c r="G61" s="150"/>
      <c r="H61" s="150"/>
      <c r="I61" s="126"/>
    </row>
    <row r="62">
      <c r="B62" s="144" t="s">
        <v>411</v>
      </c>
      <c r="E62" s="150"/>
      <c r="F62" s="150"/>
      <c r="G62" s="150"/>
      <c r="H62" s="150"/>
      <c r="I62" s="144"/>
    </row>
    <row r="63">
      <c r="B63" s="144" t="s">
        <v>412</v>
      </c>
      <c r="E63" s="150"/>
      <c r="F63" s="150"/>
      <c r="G63" s="150"/>
      <c r="H63" s="150"/>
      <c r="I63" s="126"/>
    </row>
    <row r="64">
      <c r="B64" s="144" t="s">
        <v>413</v>
      </c>
      <c r="E64" s="125"/>
      <c r="F64" s="125"/>
      <c r="G64" s="125"/>
      <c r="H64" s="125"/>
    </row>
    <row r="65">
      <c r="B65" s="144" t="s">
        <v>414</v>
      </c>
      <c r="D65" s="150"/>
      <c r="E65" s="150"/>
      <c r="F65" s="150"/>
      <c r="G65" s="150"/>
      <c r="H65" s="150"/>
      <c r="I65" s="126"/>
    </row>
    <row r="66">
      <c r="B66" s="144" t="s">
        <v>415</v>
      </c>
      <c r="D66" s="150"/>
      <c r="E66" s="150"/>
      <c r="F66" s="150"/>
      <c r="G66" s="150"/>
      <c r="H66" s="150"/>
      <c r="I66" s="144"/>
    </row>
    <row r="67">
      <c r="B67" s="144" t="s">
        <v>416</v>
      </c>
      <c r="D67" s="150"/>
      <c r="E67" s="125"/>
      <c r="F67" s="125"/>
      <c r="G67" s="125"/>
      <c r="H67" s="125"/>
    </row>
    <row r="68">
      <c r="B68" s="144" t="s">
        <v>417</v>
      </c>
      <c r="H68" s="150"/>
      <c r="I68" s="150"/>
    </row>
    <row r="69">
      <c r="B69" s="157"/>
      <c r="C69" s="150"/>
      <c r="D69" s="150"/>
      <c r="E69" s="150"/>
      <c r="F69" s="150"/>
      <c r="G69" s="150"/>
      <c r="H69" s="150"/>
      <c r="I69" s="126"/>
    </row>
    <row r="70">
      <c r="B70" s="166" t="s">
        <v>418</v>
      </c>
      <c r="D70" s="150"/>
      <c r="E70" s="150"/>
      <c r="F70" s="150"/>
      <c r="G70" s="150"/>
      <c r="H70" s="125"/>
      <c r="I70" s="125"/>
    </row>
    <row r="71">
      <c r="B71" s="144" t="s">
        <v>419</v>
      </c>
      <c r="H71" s="150"/>
      <c r="I71" s="150"/>
    </row>
    <row r="72">
      <c r="B72" s="144" t="s">
        <v>420</v>
      </c>
    </row>
    <row r="73">
      <c r="B73" s="144" t="s">
        <v>421</v>
      </c>
      <c r="H73" s="125"/>
      <c r="I73" s="125"/>
    </row>
    <row r="74">
      <c r="B74" s="144" t="s">
        <v>422</v>
      </c>
      <c r="H74" s="150"/>
      <c r="I74" s="150"/>
    </row>
    <row r="75">
      <c r="B75" s="157"/>
      <c r="C75" s="150"/>
      <c r="D75" s="150"/>
      <c r="E75" s="150"/>
      <c r="F75" s="150"/>
      <c r="G75" s="150"/>
      <c r="H75" s="150"/>
      <c r="I75" s="144"/>
    </row>
    <row r="76">
      <c r="B76" s="166" t="s">
        <v>423</v>
      </c>
      <c r="C76" s="150"/>
      <c r="D76" s="150"/>
      <c r="E76" s="150"/>
      <c r="F76" s="150"/>
      <c r="G76" s="150"/>
      <c r="H76" s="125"/>
      <c r="I76" s="125"/>
    </row>
    <row r="77">
      <c r="B77" s="137" t="s">
        <v>424</v>
      </c>
      <c r="C77" s="150"/>
      <c r="D77" s="150"/>
      <c r="E77" s="125"/>
      <c r="F77" s="125"/>
      <c r="G77" s="125"/>
      <c r="H77" s="125"/>
    </row>
    <row r="78">
      <c r="B78" s="144" t="s">
        <v>425</v>
      </c>
      <c r="F78" s="125"/>
      <c r="G78" s="125"/>
      <c r="H78" s="125"/>
    </row>
    <row r="79">
      <c r="B79" s="144" t="s">
        <v>426</v>
      </c>
      <c r="H79" s="150"/>
      <c r="I79" s="150"/>
    </row>
    <row r="80">
      <c r="B80" s="144" t="s">
        <v>427</v>
      </c>
      <c r="E80" s="150"/>
      <c r="F80" s="150"/>
      <c r="G80" s="150"/>
      <c r="H80" s="150"/>
      <c r="I80" s="144"/>
    </row>
    <row r="81">
      <c r="B81" s="135" t="s">
        <v>428</v>
      </c>
      <c r="F81" s="125"/>
      <c r="G81" s="125"/>
      <c r="H81" s="125"/>
    </row>
    <row r="82">
      <c r="B82" s="144" t="s">
        <v>429</v>
      </c>
      <c r="C82" s="144"/>
      <c r="D82" s="144"/>
      <c r="E82" s="125"/>
      <c r="F82" s="125"/>
      <c r="G82" s="125"/>
      <c r="H82" s="125"/>
    </row>
    <row r="83">
      <c r="B83" s="144" t="s">
        <v>430</v>
      </c>
      <c r="C83" s="144"/>
      <c r="D83" s="144"/>
      <c r="E83" s="150"/>
      <c r="F83" s="150"/>
      <c r="G83" s="150"/>
      <c r="H83" s="150"/>
      <c r="I83" s="144"/>
    </row>
    <row r="84">
      <c r="B84" s="144" t="s">
        <v>431</v>
      </c>
      <c r="C84" s="144"/>
      <c r="D84" s="144"/>
      <c r="E84" s="125"/>
      <c r="F84" s="125"/>
      <c r="G84" s="125"/>
      <c r="H84" s="125"/>
    </row>
    <row r="85">
      <c r="B85" s="135" t="s">
        <v>432</v>
      </c>
      <c r="C85" s="135"/>
      <c r="D85" s="135"/>
      <c r="E85" s="150"/>
      <c r="F85" s="150"/>
      <c r="G85" s="150"/>
      <c r="H85" s="150"/>
      <c r="I85" s="158"/>
    </row>
    <row r="86">
      <c r="B86" s="144" t="s">
        <v>433</v>
      </c>
      <c r="E86" s="125"/>
      <c r="F86" s="125"/>
      <c r="G86" s="125"/>
      <c r="H86" s="125"/>
    </row>
    <row r="87">
      <c r="B87" s="126" t="s">
        <v>434</v>
      </c>
    </row>
    <row r="88">
      <c r="B88" s="153"/>
      <c r="C88" s="162"/>
      <c r="D88" s="162"/>
      <c r="E88" s="162"/>
      <c r="F88" s="162"/>
      <c r="G88" s="162"/>
      <c r="H88" s="162"/>
      <c r="I88" s="144"/>
    </row>
    <row r="89">
      <c r="B89" s="160" t="s">
        <v>435</v>
      </c>
      <c r="E89" s="162"/>
      <c r="F89" s="162"/>
      <c r="G89" s="162"/>
      <c r="H89" s="162"/>
      <c r="I89" s="144"/>
    </row>
    <row r="90">
      <c r="B90" s="126" t="s">
        <v>436</v>
      </c>
      <c r="E90" s="163"/>
      <c r="F90" s="163"/>
      <c r="G90" s="163"/>
      <c r="H90" s="163"/>
    </row>
    <row r="91">
      <c r="B91" s="144" t="s">
        <v>437</v>
      </c>
      <c r="F91" s="162"/>
      <c r="G91" s="162"/>
      <c r="H91" s="162"/>
      <c r="I91" s="144"/>
    </row>
    <row r="92">
      <c r="B92" s="144" t="s">
        <v>438</v>
      </c>
      <c r="E92" s="150"/>
      <c r="F92" s="150"/>
      <c r="G92" s="150"/>
      <c r="H92" s="150"/>
      <c r="I92" s="144"/>
    </row>
    <row r="93">
      <c r="B93" s="165" t="s">
        <v>439</v>
      </c>
      <c r="E93" s="150"/>
      <c r="F93" s="150"/>
      <c r="G93" s="150"/>
      <c r="H93" s="150"/>
      <c r="I93" s="144"/>
    </row>
    <row r="94">
      <c r="B94" s="167"/>
      <c r="C94" s="150"/>
      <c r="D94" s="150"/>
      <c r="E94" s="150"/>
      <c r="F94" s="150"/>
      <c r="G94" s="150"/>
      <c r="H94" s="125"/>
      <c r="I94" s="125"/>
    </row>
    <row r="95">
      <c r="B95" s="168" t="s">
        <v>440</v>
      </c>
      <c r="E95" s="150"/>
      <c r="F95" s="150"/>
      <c r="G95" s="150"/>
      <c r="H95" s="150"/>
      <c r="I95" s="169"/>
    </row>
    <row r="96">
      <c r="B96" s="126" t="s">
        <v>441</v>
      </c>
      <c r="E96" s="162"/>
      <c r="F96" s="162"/>
      <c r="G96" s="162"/>
      <c r="H96" s="162"/>
      <c r="I96" s="158"/>
    </row>
    <row r="97">
      <c r="B97" s="126" t="s">
        <v>442</v>
      </c>
      <c r="E97" s="163"/>
      <c r="F97" s="163"/>
      <c r="G97" s="163"/>
      <c r="H97" s="163"/>
    </row>
    <row r="98">
      <c r="B98" s="126" t="s">
        <v>443</v>
      </c>
      <c r="F98" s="163"/>
      <c r="G98" s="163"/>
      <c r="H98" s="163"/>
    </row>
    <row r="99">
      <c r="B99" s="126" t="s">
        <v>444</v>
      </c>
    </row>
    <row r="100">
      <c r="B100" s="153"/>
      <c r="C100" s="162"/>
      <c r="D100" s="162"/>
      <c r="E100" s="162"/>
      <c r="F100" s="162"/>
      <c r="G100" s="162"/>
      <c r="H100" s="162"/>
      <c r="I100" s="150"/>
    </row>
    <row r="101">
      <c r="B101" s="168" t="s">
        <v>445</v>
      </c>
      <c r="C101" s="150"/>
      <c r="D101" s="150"/>
      <c r="E101" s="150"/>
      <c r="F101" s="150"/>
      <c r="G101" s="150"/>
      <c r="H101" s="150"/>
      <c r="I101" s="144"/>
    </row>
    <row r="102">
      <c r="B102" s="144" t="s">
        <v>446</v>
      </c>
      <c r="C102" s="150"/>
      <c r="D102" s="170" t="s">
        <v>447</v>
      </c>
      <c r="E102" s="150"/>
      <c r="F102" s="150"/>
      <c r="G102" s="150"/>
      <c r="H102" s="150"/>
      <c r="I102" s="144"/>
    </row>
    <row r="103">
      <c r="B103" s="135" t="s">
        <v>448</v>
      </c>
      <c r="C103" s="150"/>
      <c r="D103" s="170" t="s">
        <v>449</v>
      </c>
      <c r="H103" s="150"/>
      <c r="I103" s="150"/>
    </row>
    <row r="104">
      <c r="B104" s="144" t="s">
        <v>450</v>
      </c>
      <c r="C104" s="171"/>
      <c r="D104" s="170" t="s">
        <v>451</v>
      </c>
      <c r="H104" s="150"/>
      <c r="I104" s="150"/>
    </row>
    <row r="105">
      <c r="B105" s="157"/>
      <c r="C105" s="171"/>
      <c r="D105" s="150"/>
      <c r="E105" s="150"/>
      <c r="F105" s="150"/>
      <c r="G105" s="150"/>
      <c r="H105" s="125"/>
      <c r="I105" s="125"/>
    </row>
    <row r="106">
      <c r="B106" s="168" t="s">
        <v>452</v>
      </c>
      <c r="E106" s="125"/>
      <c r="F106" s="125"/>
      <c r="G106" s="125"/>
      <c r="H106" s="125"/>
    </row>
    <row r="107">
      <c r="B107" s="144" t="s">
        <v>453</v>
      </c>
    </row>
    <row r="108">
      <c r="B108" s="157"/>
      <c r="C108" s="150"/>
      <c r="D108" s="150"/>
      <c r="E108" s="150"/>
      <c r="F108" s="150"/>
      <c r="G108" s="150"/>
      <c r="H108" s="150"/>
      <c r="I108" s="144"/>
    </row>
    <row r="109">
      <c r="B109" s="158" t="s">
        <v>454</v>
      </c>
      <c r="D109" s="125"/>
      <c r="E109" s="125"/>
      <c r="F109" s="125"/>
      <c r="G109" s="125"/>
      <c r="H109" s="125"/>
    </row>
    <row r="110">
      <c r="B110" s="135" t="s">
        <v>455</v>
      </c>
      <c r="E110" s="125"/>
      <c r="F110" s="125"/>
      <c r="G110" s="125"/>
      <c r="H110" s="125"/>
    </row>
    <row r="111">
      <c r="B111" s="144" t="s">
        <v>456</v>
      </c>
      <c r="E111" s="150"/>
      <c r="F111" s="150"/>
      <c r="G111" s="150"/>
      <c r="H111" s="150"/>
      <c r="I111" s="144"/>
    </row>
    <row r="112">
      <c r="B112" s="126" t="s">
        <v>457</v>
      </c>
      <c r="E112" s="163"/>
      <c r="F112" s="163"/>
      <c r="G112" s="163"/>
      <c r="H112" s="163"/>
    </row>
    <row r="113">
      <c r="B113" s="126" t="s">
        <v>458</v>
      </c>
      <c r="C113" s="126"/>
      <c r="D113" s="126"/>
      <c r="E113" s="163"/>
      <c r="F113" s="163"/>
      <c r="G113" s="163"/>
      <c r="H113" s="163"/>
    </row>
    <row r="114">
      <c r="B114" s="129"/>
      <c r="C114" s="163"/>
      <c r="D114" s="163"/>
      <c r="E114" s="163"/>
      <c r="F114" s="163"/>
      <c r="G114" s="163"/>
      <c r="H114" s="163"/>
    </row>
    <row r="115">
      <c r="B115" s="127" t="s">
        <v>459</v>
      </c>
      <c r="E115" s="163"/>
      <c r="F115" s="163"/>
      <c r="G115" s="163"/>
      <c r="H115" s="163"/>
    </row>
    <row r="116">
      <c r="B116" s="172" t="s">
        <v>460</v>
      </c>
      <c r="C116" s="163"/>
      <c r="D116" s="163"/>
      <c r="E116" s="163"/>
      <c r="F116" s="163"/>
      <c r="G116" s="163"/>
      <c r="H116" s="173" t="s">
        <v>461</v>
      </c>
    </row>
    <row r="117">
      <c r="B117" s="144" t="s">
        <v>462</v>
      </c>
      <c r="E117" s="163"/>
      <c r="F117" s="163"/>
      <c r="G117" s="163"/>
      <c r="H117" s="139" t="s">
        <v>463</v>
      </c>
    </row>
    <row r="118">
      <c r="B118" s="144" t="s">
        <v>464</v>
      </c>
      <c r="E118" s="163"/>
      <c r="F118" s="163"/>
      <c r="G118" s="163"/>
      <c r="H118" s="139" t="s">
        <v>463</v>
      </c>
    </row>
    <row r="119">
      <c r="B119" s="144" t="s">
        <v>465</v>
      </c>
      <c r="H119" s="139" t="s">
        <v>466</v>
      </c>
    </row>
    <row r="120">
      <c r="B120" s="144" t="s">
        <v>467</v>
      </c>
      <c r="C120" s="125"/>
      <c r="D120" s="125"/>
      <c r="E120" s="125"/>
      <c r="F120" s="125"/>
      <c r="G120" s="125"/>
      <c r="H120" s="125"/>
    </row>
    <row r="121">
      <c r="B121" s="135" t="s">
        <v>468</v>
      </c>
      <c r="C121" s="135"/>
      <c r="D121" s="135"/>
      <c r="E121" s="125"/>
      <c r="F121" s="125"/>
      <c r="G121" s="125"/>
      <c r="H121" s="139" t="s">
        <v>469</v>
      </c>
    </row>
    <row r="122">
      <c r="B122" s="144" t="s">
        <v>470</v>
      </c>
      <c r="E122" s="125"/>
      <c r="F122" s="125"/>
      <c r="G122" s="125"/>
      <c r="H122" s="139" t="s">
        <v>471</v>
      </c>
    </row>
    <row r="123">
      <c r="B123" s="144" t="s">
        <v>472</v>
      </c>
      <c r="H123" s="139" t="s">
        <v>473</v>
      </c>
    </row>
    <row r="124">
      <c r="B124" s="144" t="s">
        <v>474</v>
      </c>
      <c r="G124" s="125"/>
      <c r="H124" s="139" t="s">
        <v>473</v>
      </c>
    </row>
    <row r="125">
      <c r="B125" s="144" t="s">
        <v>475</v>
      </c>
      <c r="G125" s="125"/>
      <c r="H125" s="139" t="s">
        <v>471</v>
      </c>
    </row>
    <row r="126">
      <c r="B126" s="144" t="s">
        <v>476</v>
      </c>
      <c r="G126" s="125"/>
      <c r="H126" s="139" t="s">
        <v>477</v>
      </c>
    </row>
    <row r="127">
      <c r="B127" s="144" t="s">
        <v>478</v>
      </c>
      <c r="G127" s="125"/>
      <c r="H127" s="139" t="s">
        <v>479</v>
      </c>
    </row>
    <row r="128">
      <c r="B128" s="135" t="s">
        <v>480</v>
      </c>
      <c r="I128" s="125"/>
    </row>
    <row r="129">
      <c r="B129" s="136"/>
      <c r="C129" s="125"/>
      <c r="D129" s="125"/>
      <c r="E129" s="125"/>
      <c r="F129" s="125"/>
      <c r="G129" s="125"/>
      <c r="H129" s="125"/>
    </row>
    <row r="130">
      <c r="B130" s="166" t="s">
        <v>481</v>
      </c>
      <c r="E130" s="125"/>
      <c r="F130" s="125"/>
      <c r="G130" s="125"/>
      <c r="H130" s="125"/>
    </row>
    <row r="131">
      <c r="B131" s="135" t="s">
        <v>482</v>
      </c>
    </row>
    <row r="132">
      <c r="B132" s="136"/>
      <c r="C132" s="125"/>
      <c r="D132" s="125"/>
      <c r="E132" s="125"/>
      <c r="F132" s="125"/>
      <c r="G132" s="125"/>
      <c r="H132" s="125"/>
    </row>
    <row r="133">
      <c r="B133" s="135" t="s">
        <v>483</v>
      </c>
      <c r="F133" s="125"/>
      <c r="G133" s="125"/>
      <c r="H133" s="125"/>
    </row>
    <row r="134">
      <c r="B134" s="125"/>
      <c r="C134" s="125"/>
      <c r="D134" s="125"/>
      <c r="E134" s="125"/>
      <c r="F134" s="125"/>
      <c r="G134" s="125"/>
      <c r="H134" s="125"/>
    </row>
    <row r="135">
      <c r="B135" s="139" t="s">
        <v>75</v>
      </c>
      <c r="C135" s="147" t="s">
        <v>169</v>
      </c>
      <c r="D135" s="148">
        <f>FillIn!D52</f>
        <v>45978</v>
      </c>
      <c r="E135" s="125"/>
      <c r="F135" s="125"/>
      <c r="G135" s="125"/>
      <c r="H135" s="125"/>
    </row>
    <row r="136">
      <c r="B136" s="125"/>
      <c r="C136" s="125"/>
      <c r="D136" s="125"/>
      <c r="E136" s="125"/>
      <c r="F136" s="125"/>
      <c r="G136" s="125"/>
      <c r="H136" s="125"/>
    </row>
    <row r="137">
      <c r="B137" s="125"/>
      <c r="C137" s="125"/>
      <c r="D137" s="125"/>
      <c r="E137" s="125"/>
      <c r="F137" s="125"/>
      <c r="G137" s="125"/>
      <c r="H137" s="125"/>
    </row>
    <row r="138">
      <c r="B138" s="125"/>
      <c r="C138" s="125"/>
      <c r="D138" s="125"/>
      <c r="E138" s="125"/>
      <c r="F138" s="125"/>
      <c r="G138" s="125"/>
      <c r="H138" s="125"/>
    </row>
    <row r="139">
      <c r="B139" s="125"/>
      <c r="C139" s="125"/>
      <c r="D139" s="125"/>
      <c r="E139" s="125"/>
      <c r="F139" s="125"/>
      <c r="G139" s="125"/>
      <c r="H139" s="125"/>
    </row>
    <row r="140">
      <c r="B140" s="144" t="s">
        <v>484</v>
      </c>
      <c r="E140" s="125"/>
      <c r="F140" s="125"/>
      <c r="G140" s="125"/>
      <c r="H140" s="125"/>
    </row>
    <row r="141">
      <c r="B141" s="130" t="str">
        <f>FillIn!M4</f>
        <v>de heer G. Aslan</v>
      </c>
      <c r="C141" s="125"/>
      <c r="D141" s="125"/>
      <c r="E141" s="125"/>
      <c r="F141" s="125"/>
      <c r="G141" s="125"/>
      <c r="H141" s="125"/>
    </row>
  </sheetData>
  <mergeCells count="103">
    <mergeCell ref="B45:D45"/>
    <mergeCell ref="B46:G46"/>
    <mergeCell ref="B47:D47"/>
    <mergeCell ref="B48:D48"/>
    <mergeCell ref="B49:G49"/>
    <mergeCell ref="B50:D50"/>
    <mergeCell ref="B52:D52"/>
    <mergeCell ref="B53:D53"/>
    <mergeCell ref="B54:D54"/>
    <mergeCell ref="B55:D55"/>
    <mergeCell ref="B56:D56"/>
    <mergeCell ref="B58:D58"/>
    <mergeCell ref="B59:D59"/>
    <mergeCell ref="B60:G60"/>
    <mergeCell ref="B67:C67"/>
    <mergeCell ref="B70:C70"/>
    <mergeCell ref="B61:D61"/>
    <mergeCell ref="B62:D62"/>
    <mergeCell ref="B63:D63"/>
    <mergeCell ref="B64:D64"/>
    <mergeCell ref="B65:C65"/>
    <mergeCell ref="B66:C66"/>
    <mergeCell ref="B68:G68"/>
    <mergeCell ref="B71:G71"/>
    <mergeCell ref="B72:I72"/>
    <mergeCell ref="B73:G73"/>
    <mergeCell ref="B74:G74"/>
    <mergeCell ref="B78:E78"/>
    <mergeCell ref="B79:G79"/>
    <mergeCell ref="B81:E81"/>
    <mergeCell ref="B80:D80"/>
    <mergeCell ref="B86:D86"/>
    <mergeCell ref="B87:I87"/>
    <mergeCell ref="B89:D89"/>
    <mergeCell ref="B90:D90"/>
    <mergeCell ref="B91:E91"/>
    <mergeCell ref="B92:D92"/>
    <mergeCell ref="B93:D93"/>
    <mergeCell ref="B95:D95"/>
    <mergeCell ref="B96:D96"/>
    <mergeCell ref="B97:D97"/>
    <mergeCell ref="B98:E98"/>
    <mergeCell ref="B99:I99"/>
    <mergeCell ref="D103:G103"/>
    <mergeCell ref="D104:G104"/>
    <mergeCell ref="B106:D106"/>
    <mergeCell ref="B107:I107"/>
    <mergeCell ref="B109:C109"/>
    <mergeCell ref="B110:D110"/>
    <mergeCell ref="B111:D111"/>
    <mergeCell ref="B112:D112"/>
    <mergeCell ref="B1:I1"/>
    <mergeCell ref="B3:I3"/>
    <mergeCell ref="B4:I4"/>
    <mergeCell ref="B5:I5"/>
    <mergeCell ref="B7:D7"/>
    <mergeCell ref="B8:I8"/>
    <mergeCell ref="B9:D9"/>
    <mergeCell ref="B18:G18"/>
    <mergeCell ref="B19:I19"/>
    <mergeCell ref="B10:D10"/>
    <mergeCell ref="B12:D12"/>
    <mergeCell ref="B13:D13"/>
    <mergeCell ref="B14:D14"/>
    <mergeCell ref="B15:D15"/>
    <mergeCell ref="B16:D16"/>
    <mergeCell ref="B17:D17"/>
    <mergeCell ref="B21:D21"/>
    <mergeCell ref="B22:D22"/>
    <mergeCell ref="B23:D23"/>
    <mergeCell ref="B24:D24"/>
    <mergeCell ref="B25:G25"/>
    <mergeCell ref="B26:H26"/>
    <mergeCell ref="B28:D28"/>
    <mergeCell ref="B29:D29"/>
    <mergeCell ref="B30:D30"/>
    <mergeCell ref="B31:I31"/>
    <mergeCell ref="B32:D32"/>
    <mergeCell ref="B33:D33"/>
    <mergeCell ref="B34:I34"/>
    <mergeCell ref="B36:G36"/>
    <mergeCell ref="B35:D35"/>
    <mergeCell ref="B38:D38"/>
    <mergeCell ref="B39:G39"/>
    <mergeCell ref="B40:D40"/>
    <mergeCell ref="B41:D41"/>
    <mergeCell ref="B42:D42"/>
    <mergeCell ref="B43:D43"/>
    <mergeCell ref="B125:F125"/>
    <mergeCell ref="B126:F126"/>
    <mergeCell ref="B127:F127"/>
    <mergeCell ref="B128:H128"/>
    <mergeCell ref="B130:D130"/>
    <mergeCell ref="B131:I131"/>
    <mergeCell ref="B133:E133"/>
    <mergeCell ref="B140:D140"/>
    <mergeCell ref="B115:D115"/>
    <mergeCell ref="B117:D117"/>
    <mergeCell ref="B118:D118"/>
    <mergeCell ref="B119:G119"/>
    <mergeCell ref="B122:D122"/>
    <mergeCell ref="B123:G123"/>
    <mergeCell ref="B124:F124"/>
  </mergeCells>
  <hyperlinks>
    <hyperlink r:id="rId1" ref="D102"/>
    <hyperlink r:id="rId2" ref="D103"/>
    <hyperlink r:id="rId3" ref="D10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74" t="s">
        <v>485</v>
      </c>
    </row>
    <row r="2">
      <c r="B2" s="125"/>
      <c r="C2" s="125"/>
      <c r="D2" s="125"/>
      <c r="E2" s="125"/>
      <c r="F2" s="125"/>
      <c r="G2" s="125"/>
      <c r="H2" s="125"/>
    </row>
    <row r="3">
      <c r="B3" s="135" t="s">
        <v>486</v>
      </c>
    </row>
    <row r="4">
      <c r="B4" s="139" t="s">
        <v>487</v>
      </c>
    </row>
    <row r="5">
      <c r="B5" s="139" t="s">
        <v>488</v>
      </c>
    </row>
    <row r="6">
      <c r="B6" s="150"/>
      <c r="C6" s="150"/>
      <c r="D6" s="150"/>
      <c r="E6" s="125"/>
      <c r="F6" s="150"/>
      <c r="G6" s="150"/>
      <c r="H6" s="150"/>
    </row>
    <row r="7">
      <c r="B7" s="160" t="s">
        <v>489</v>
      </c>
    </row>
    <row r="8">
      <c r="B8" s="161" t="s">
        <v>490</v>
      </c>
    </row>
    <row r="9">
      <c r="B9" s="144" t="s">
        <v>491</v>
      </c>
    </row>
    <row r="10">
      <c r="B10" s="144" t="s">
        <v>492</v>
      </c>
      <c r="E10" s="163"/>
      <c r="F10" s="163"/>
      <c r="G10" s="163"/>
      <c r="H10" s="163"/>
    </row>
    <row r="11">
      <c r="B11" s="144" t="s">
        <v>493</v>
      </c>
      <c r="C11" s="162"/>
      <c r="D11" s="162"/>
      <c r="E11" s="163"/>
      <c r="F11" s="163"/>
      <c r="G11" s="163"/>
      <c r="H11" s="163"/>
    </row>
    <row r="12">
      <c r="B12" s="144" t="s">
        <v>494</v>
      </c>
      <c r="E12" s="162"/>
      <c r="F12" s="162"/>
      <c r="G12" s="162"/>
      <c r="H12" s="162"/>
      <c r="I12" s="134"/>
    </row>
    <row r="13">
      <c r="B13" s="144" t="s">
        <v>495</v>
      </c>
      <c r="E13" s="162"/>
      <c r="F13" s="162"/>
      <c r="G13" s="162"/>
      <c r="H13" s="163"/>
      <c r="I13" s="125"/>
    </row>
    <row r="14">
      <c r="B14" s="144" t="s">
        <v>496</v>
      </c>
      <c r="E14" s="150"/>
      <c r="F14" s="150"/>
      <c r="G14" s="150"/>
      <c r="H14" s="150"/>
      <c r="I14" s="126"/>
    </row>
    <row r="15">
      <c r="B15" s="144" t="s">
        <v>497</v>
      </c>
      <c r="E15" s="125"/>
      <c r="F15" s="125"/>
      <c r="G15" s="125"/>
      <c r="H15" s="125"/>
    </row>
    <row r="16">
      <c r="B16" s="164" t="s">
        <v>498</v>
      </c>
      <c r="E16" s="150"/>
      <c r="F16" s="150"/>
      <c r="G16" s="150"/>
      <c r="H16" s="150"/>
      <c r="I16" s="134"/>
    </row>
    <row r="17">
      <c r="B17" s="165" t="s">
        <v>499</v>
      </c>
    </row>
    <row r="18">
      <c r="B18" s="144" t="s">
        <v>500</v>
      </c>
      <c r="H18" s="150"/>
      <c r="I18" s="150"/>
    </row>
    <row r="19">
      <c r="B19" s="144" t="s">
        <v>501</v>
      </c>
    </row>
    <row r="20">
      <c r="B20" s="153"/>
      <c r="C20" s="150"/>
      <c r="D20" s="150"/>
      <c r="E20" s="150"/>
      <c r="F20" s="150"/>
      <c r="G20" s="150"/>
      <c r="H20" s="150"/>
      <c r="I20" s="126"/>
    </row>
    <row r="21">
      <c r="B21" s="160" t="s">
        <v>502</v>
      </c>
    </row>
    <row r="22">
      <c r="B22" s="126" t="s">
        <v>503</v>
      </c>
    </row>
    <row r="23">
      <c r="B23" s="144" t="s">
        <v>504</v>
      </c>
    </row>
    <row r="24">
      <c r="B24" s="165" t="s">
        <v>505</v>
      </c>
    </row>
    <row r="25">
      <c r="B25" s="144" t="s">
        <v>506</v>
      </c>
    </row>
    <row r="26">
      <c r="B26" s="144" t="s">
        <v>507</v>
      </c>
      <c r="I26" s="125"/>
    </row>
    <row r="27">
      <c r="B27" s="153"/>
      <c r="C27" s="150"/>
      <c r="D27" s="150"/>
      <c r="E27" s="150"/>
      <c r="F27" s="150"/>
      <c r="G27" s="150"/>
      <c r="H27" s="150"/>
      <c r="I27" s="142"/>
    </row>
    <row r="28">
      <c r="B28" s="166" t="s">
        <v>508</v>
      </c>
      <c r="E28" s="150"/>
      <c r="F28" s="150"/>
      <c r="G28" s="150"/>
      <c r="H28" s="150"/>
      <c r="I28" s="125"/>
    </row>
    <row r="29">
      <c r="B29" s="126" t="s">
        <v>509</v>
      </c>
    </row>
    <row r="30">
      <c r="B30" s="126" t="s">
        <v>510</v>
      </c>
    </row>
    <row r="31">
      <c r="B31" s="126" t="s">
        <v>511</v>
      </c>
    </row>
    <row r="32">
      <c r="B32" s="126" t="s">
        <v>512</v>
      </c>
    </row>
    <row r="33">
      <c r="B33" s="126" t="s">
        <v>513</v>
      </c>
    </row>
    <row r="34">
      <c r="B34" s="126" t="s">
        <v>514</v>
      </c>
    </row>
    <row r="35">
      <c r="B35" s="126" t="s">
        <v>515</v>
      </c>
    </row>
    <row r="36">
      <c r="B36" s="126" t="s">
        <v>516</v>
      </c>
    </row>
    <row r="37">
      <c r="B37" s="153"/>
      <c r="C37" s="162"/>
      <c r="D37" s="150"/>
      <c r="E37" s="150"/>
      <c r="F37" s="150"/>
      <c r="G37" s="150"/>
      <c r="H37" s="150"/>
      <c r="I37" s="126"/>
    </row>
    <row r="38">
      <c r="B38" s="160" t="s">
        <v>517</v>
      </c>
    </row>
    <row r="39">
      <c r="B39" s="126" t="s">
        <v>518</v>
      </c>
    </row>
    <row r="40">
      <c r="B40" s="126" t="s">
        <v>519</v>
      </c>
    </row>
    <row r="41">
      <c r="B41" s="126" t="s">
        <v>520</v>
      </c>
    </row>
    <row r="42">
      <c r="B42" s="126" t="s">
        <v>521</v>
      </c>
    </row>
    <row r="43">
      <c r="B43" s="126" t="s">
        <v>522</v>
      </c>
    </row>
    <row r="44">
      <c r="B44" s="153"/>
      <c r="C44" s="150"/>
      <c r="D44" s="150"/>
      <c r="E44" s="150"/>
      <c r="F44" s="150"/>
      <c r="G44" s="150"/>
      <c r="H44" s="150"/>
      <c r="I44" s="126"/>
    </row>
    <row r="45">
      <c r="B45" s="160" t="s">
        <v>523</v>
      </c>
    </row>
    <row r="46">
      <c r="B46" s="126" t="s">
        <v>524</v>
      </c>
    </row>
    <row r="47">
      <c r="B47" s="126" t="s">
        <v>525</v>
      </c>
    </row>
    <row r="48">
      <c r="B48" s="126" t="s">
        <v>526</v>
      </c>
    </row>
    <row r="49">
      <c r="B49" s="126" t="s">
        <v>527</v>
      </c>
    </row>
    <row r="50">
      <c r="B50" s="126" t="s">
        <v>528</v>
      </c>
    </row>
    <row r="51">
      <c r="B51" s="167"/>
      <c r="C51" s="150"/>
      <c r="D51" s="150"/>
      <c r="E51" s="150"/>
      <c r="F51" s="150"/>
      <c r="G51" s="150"/>
      <c r="H51" s="150"/>
      <c r="I51" s="126"/>
    </row>
    <row r="52">
      <c r="B52" s="160" t="s">
        <v>529</v>
      </c>
    </row>
    <row r="53">
      <c r="B53" s="126" t="s">
        <v>530</v>
      </c>
    </row>
    <row r="54">
      <c r="B54" s="126" t="s">
        <v>531</v>
      </c>
    </row>
    <row r="55">
      <c r="B55" s="126" t="s">
        <v>532</v>
      </c>
    </row>
    <row r="56">
      <c r="B56" s="126" t="s">
        <v>533</v>
      </c>
    </row>
    <row r="57">
      <c r="B57" s="153"/>
      <c r="C57" s="150"/>
      <c r="D57" s="150"/>
      <c r="E57" s="150"/>
      <c r="F57" s="150"/>
      <c r="G57" s="150"/>
      <c r="H57" s="150"/>
      <c r="I57" s="144"/>
    </row>
    <row r="58">
      <c r="B58" s="168" t="s">
        <v>407</v>
      </c>
      <c r="E58" s="150"/>
      <c r="F58" s="150"/>
      <c r="G58" s="150"/>
      <c r="H58" s="150"/>
      <c r="I58" s="150"/>
    </row>
    <row r="59">
      <c r="B59" s="126" t="s">
        <v>534</v>
      </c>
    </row>
    <row r="60">
      <c r="B60" s="126" t="s">
        <v>535</v>
      </c>
    </row>
    <row r="61">
      <c r="B61" s="126" t="s">
        <v>536</v>
      </c>
    </row>
    <row r="62">
      <c r="B62" s="126" t="s">
        <v>537</v>
      </c>
    </row>
    <row r="63">
      <c r="B63" s="126" t="s">
        <v>538</v>
      </c>
    </row>
    <row r="64">
      <c r="B64" s="126" t="s">
        <v>539</v>
      </c>
    </row>
    <row r="65">
      <c r="B65" s="126" t="s">
        <v>540</v>
      </c>
    </row>
    <row r="66">
      <c r="B66" s="126" t="s">
        <v>541</v>
      </c>
    </row>
    <row r="67">
      <c r="B67" s="126" t="s">
        <v>542</v>
      </c>
    </row>
    <row r="68">
      <c r="B68" s="127" t="s">
        <v>543</v>
      </c>
    </row>
    <row r="69">
      <c r="B69" s="157"/>
      <c r="C69" s="150"/>
      <c r="D69" s="150"/>
      <c r="E69" s="150"/>
      <c r="F69" s="150"/>
      <c r="G69" s="150"/>
      <c r="H69" s="150"/>
      <c r="I69" s="126"/>
    </row>
    <row r="70">
      <c r="B70" s="166" t="s">
        <v>544</v>
      </c>
    </row>
    <row r="71">
      <c r="B71" s="126" t="s">
        <v>545</v>
      </c>
    </row>
    <row r="72">
      <c r="B72" s="142" t="s">
        <v>546</v>
      </c>
    </row>
    <row r="73">
      <c r="B73" s="126" t="s">
        <v>547</v>
      </c>
    </row>
    <row r="74">
      <c r="B74" s="126" t="s">
        <v>548</v>
      </c>
    </row>
    <row r="75">
      <c r="B75" s="157"/>
      <c r="C75" s="150"/>
      <c r="D75" s="150"/>
      <c r="E75" s="150"/>
      <c r="F75" s="150"/>
      <c r="G75" s="150"/>
      <c r="H75" s="150"/>
      <c r="I75" s="144"/>
    </row>
    <row r="76">
      <c r="B76" s="166" t="s">
        <v>549</v>
      </c>
    </row>
    <row r="77">
      <c r="B77" s="137" t="s">
        <v>550</v>
      </c>
    </row>
    <row r="78">
      <c r="B78" s="144" t="s">
        <v>551</v>
      </c>
    </row>
    <row r="79">
      <c r="B79" s="144" t="s">
        <v>552</v>
      </c>
    </row>
    <row r="80">
      <c r="B80" s="144" t="s">
        <v>553</v>
      </c>
    </row>
    <row r="81">
      <c r="B81" s="135" t="s">
        <v>554</v>
      </c>
    </row>
    <row r="82">
      <c r="B82" s="144" t="s">
        <v>555</v>
      </c>
    </row>
    <row r="83">
      <c r="B83" s="144" t="s">
        <v>556</v>
      </c>
    </row>
    <row r="84">
      <c r="B84" s="144" t="s">
        <v>557</v>
      </c>
    </row>
    <row r="85">
      <c r="B85" s="135" t="s">
        <v>558</v>
      </c>
    </row>
    <row r="86">
      <c r="B86" s="144" t="s">
        <v>559</v>
      </c>
    </row>
    <row r="87">
      <c r="B87" s="142" t="s">
        <v>560</v>
      </c>
    </row>
    <row r="88">
      <c r="B88" s="153"/>
      <c r="C88" s="162"/>
      <c r="D88" s="162"/>
      <c r="E88" s="162"/>
      <c r="F88" s="162"/>
      <c r="G88" s="162"/>
      <c r="H88" s="162"/>
      <c r="I88" s="144"/>
    </row>
    <row r="89">
      <c r="B89" s="160" t="s">
        <v>561</v>
      </c>
    </row>
    <row r="90">
      <c r="B90" s="126" t="s">
        <v>562</v>
      </c>
    </row>
    <row r="91">
      <c r="B91" s="144" t="s">
        <v>563</v>
      </c>
    </row>
    <row r="92">
      <c r="B92" s="144" t="s">
        <v>564</v>
      </c>
    </row>
    <row r="93">
      <c r="B93" s="165" t="s">
        <v>565</v>
      </c>
    </row>
    <row r="94">
      <c r="B94" s="167"/>
    </row>
    <row r="95">
      <c r="B95" s="168" t="s">
        <v>566</v>
      </c>
    </row>
    <row r="96">
      <c r="B96" s="126" t="s">
        <v>567</v>
      </c>
    </row>
    <row r="97">
      <c r="B97" s="126" t="s">
        <v>568</v>
      </c>
    </row>
    <row r="98">
      <c r="B98" s="126" t="s">
        <v>569</v>
      </c>
    </row>
    <row r="99">
      <c r="B99" s="126" t="s">
        <v>570</v>
      </c>
    </row>
    <row r="100">
      <c r="B100" s="153"/>
      <c r="C100" s="162"/>
      <c r="D100" s="162"/>
      <c r="E100" s="162"/>
      <c r="F100" s="162"/>
      <c r="G100" s="162"/>
      <c r="H100" s="162"/>
      <c r="I100" s="150"/>
    </row>
    <row r="101">
      <c r="B101" s="168" t="s">
        <v>445</v>
      </c>
      <c r="C101" s="150"/>
      <c r="D101" s="150"/>
      <c r="E101" s="150"/>
      <c r="F101" s="150"/>
      <c r="G101" s="150"/>
      <c r="H101" s="150"/>
      <c r="I101" s="144"/>
    </row>
    <row r="102">
      <c r="B102" s="144" t="s">
        <v>446</v>
      </c>
      <c r="C102" s="150"/>
      <c r="D102" s="170" t="s">
        <v>571</v>
      </c>
      <c r="E102" s="150"/>
      <c r="F102" s="150"/>
      <c r="G102" s="150"/>
      <c r="H102" s="150"/>
      <c r="I102" s="144"/>
    </row>
    <row r="103">
      <c r="B103" s="135" t="s">
        <v>448</v>
      </c>
      <c r="C103" s="150"/>
      <c r="D103" s="170" t="s">
        <v>572</v>
      </c>
      <c r="H103" s="150"/>
      <c r="I103" s="150"/>
    </row>
    <row r="104">
      <c r="B104" s="144" t="s">
        <v>450</v>
      </c>
      <c r="C104" s="171"/>
      <c r="D104" s="170" t="s">
        <v>573</v>
      </c>
      <c r="H104" s="150"/>
      <c r="I104" s="150"/>
    </row>
    <row r="105">
      <c r="B105" s="157"/>
      <c r="C105" s="171"/>
      <c r="D105" s="150"/>
      <c r="E105" s="150"/>
      <c r="F105" s="150"/>
      <c r="G105" s="150"/>
      <c r="H105" s="125"/>
      <c r="I105" s="125"/>
    </row>
    <row r="106">
      <c r="B106" s="168" t="s">
        <v>574</v>
      </c>
    </row>
    <row r="107">
      <c r="B107" s="144" t="s">
        <v>575</v>
      </c>
    </row>
    <row r="108">
      <c r="B108" s="157"/>
    </row>
    <row r="109">
      <c r="B109" s="158" t="s">
        <v>576</v>
      </c>
    </row>
    <row r="110">
      <c r="B110" s="135" t="s">
        <v>577</v>
      </c>
    </row>
    <row r="111">
      <c r="B111" s="144" t="s">
        <v>578</v>
      </c>
    </row>
    <row r="112">
      <c r="B112" s="126" t="s">
        <v>579</v>
      </c>
    </row>
    <row r="113">
      <c r="B113" s="126" t="s">
        <v>580</v>
      </c>
    </row>
    <row r="114">
      <c r="B114" s="129"/>
    </row>
    <row r="115">
      <c r="B115" s="127" t="s">
        <v>581</v>
      </c>
    </row>
    <row r="116">
      <c r="B116" s="172" t="s">
        <v>582</v>
      </c>
      <c r="H116" s="173" t="s">
        <v>583</v>
      </c>
    </row>
    <row r="117">
      <c r="B117" s="144" t="s">
        <v>584</v>
      </c>
      <c r="H117" s="139" t="s">
        <v>463</v>
      </c>
    </row>
    <row r="118">
      <c r="B118" s="144" t="s">
        <v>585</v>
      </c>
      <c r="H118" s="139" t="s">
        <v>463</v>
      </c>
    </row>
    <row r="119">
      <c r="B119" s="175" t="s">
        <v>586</v>
      </c>
      <c r="H119" s="139" t="s">
        <v>466</v>
      </c>
    </row>
    <row r="120">
      <c r="B120" s="135" t="s">
        <v>587</v>
      </c>
      <c r="H120" s="139" t="s">
        <v>469</v>
      </c>
    </row>
    <row r="121">
      <c r="B121" s="144" t="s">
        <v>588</v>
      </c>
      <c r="H121" s="139" t="s">
        <v>471</v>
      </c>
    </row>
    <row r="122">
      <c r="B122" s="144" t="s">
        <v>589</v>
      </c>
      <c r="H122" s="139" t="s">
        <v>590</v>
      </c>
    </row>
    <row r="123">
      <c r="B123" s="144" t="s">
        <v>591</v>
      </c>
      <c r="H123" s="139" t="s">
        <v>590</v>
      </c>
    </row>
    <row r="124">
      <c r="B124" s="144" t="s">
        <v>592</v>
      </c>
      <c r="H124" s="139" t="s">
        <v>471</v>
      </c>
    </row>
    <row r="125">
      <c r="B125" s="144" t="s">
        <v>593</v>
      </c>
      <c r="H125" s="139" t="s">
        <v>477</v>
      </c>
    </row>
    <row r="126">
      <c r="B126" s="144" t="s">
        <v>594</v>
      </c>
      <c r="H126" s="139" t="s">
        <v>595</v>
      </c>
    </row>
    <row r="127">
      <c r="B127" s="126" t="s">
        <v>596</v>
      </c>
      <c r="H127" s="126" t="s">
        <v>597</v>
      </c>
    </row>
    <row r="128">
      <c r="B128" s="136"/>
      <c r="C128" s="125"/>
      <c r="D128" s="125"/>
      <c r="E128" s="125"/>
      <c r="F128" s="125"/>
      <c r="G128" s="125"/>
      <c r="H128" s="125"/>
    </row>
    <row r="129">
      <c r="B129" s="166" t="s">
        <v>598</v>
      </c>
    </row>
    <row r="130">
      <c r="B130" s="135" t="s">
        <v>599</v>
      </c>
    </row>
    <row r="131">
      <c r="B131" s="136"/>
    </row>
    <row r="132">
      <c r="B132" s="135" t="s">
        <v>600</v>
      </c>
    </row>
    <row r="133">
      <c r="B133" s="125"/>
      <c r="C133" s="125"/>
      <c r="D133" s="125"/>
      <c r="E133" s="125"/>
      <c r="F133" s="125"/>
      <c r="G133" s="125"/>
      <c r="H133" s="125"/>
    </row>
    <row r="134">
      <c r="B134" s="139" t="s">
        <v>601</v>
      </c>
      <c r="C134" s="147" t="s">
        <v>169</v>
      </c>
      <c r="D134" s="148">
        <f>FillIn!D52</f>
        <v>45978</v>
      </c>
    </row>
    <row r="135">
      <c r="B135" s="125"/>
      <c r="C135" s="125"/>
      <c r="D135" s="125"/>
      <c r="E135" s="125"/>
      <c r="F135" s="125"/>
      <c r="G135" s="125"/>
      <c r="H135" s="125"/>
    </row>
    <row r="136">
      <c r="B136" s="125"/>
      <c r="C136" s="125"/>
      <c r="D136" s="125"/>
      <c r="E136" s="125"/>
      <c r="F136" s="125"/>
      <c r="G136" s="125"/>
      <c r="H136" s="125"/>
    </row>
    <row r="137">
      <c r="B137" s="125"/>
      <c r="C137" s="125"/>
      <c r="D137" s="125"/>
      <c r="E137" s="125"/>
      <c r="F137" s="125"/>
      <c r="G137" s="125"/>
      <c r="H137" s="125"/>
    </row>
    <row r="138">
      <c r="B138" s="125"/>
      <c r="C138" s="125"/>
      <c r="D138" s="125"/>
      <c r="E138" s="125"/>
      <c r="F138" s="125"/>
      <c r="G138" s="125"/>
      <c r="H138" s="125"/>
    </row>
    <row r="139">
      <c r="B139" s="126" t="s">
        <v>602</v>
      </c>
    </row>
    <row r="140">
      <c r="B140" s="126" t="str">
        <f>FillIn!M4</f>
        <v>de heer G. Aslan</v>
      </c>
    </row>
  </sheetData>
  <mergeCells count="130">
    <mergeCell ref="B1:I1"/>
    <mergeCell ref="B3:I3"/>
    <mergeCell ref="B4:I4"/>
    <mergeCell ref="B5:I5"/>
    <mergeCell ref="B7:I7"/>
    <mergeCell ref="B8:I8"/>
    <mergeCell ref="B9:I9"/>
    <mergeCell ref="B10:D10"/>
    <mergeCell ref="B12:D12"/>
    <mergeCell ref="B13:D13"/>
    <mergeCell ref="B14:D14"/>
    <mergeCell ref="B15:D15"/>
    <mergeCell ref="B16:D16"/>
    <mergeCell ref="B17:I17"/>
    <mergeCell ref="B18:G18"/>
    <mergeCell ref="B19:I19"/>
    <mergeCell ref="B21:I21"/>
    <mergeCell ref="B22:I22"/>
    <mergeCell ref="B23:I23"/>
    <mergeCell ref="B24:I24"/>
    <mergeCell ref="B25:I25"/>
    <mergeCell ref="B26:H26"/>
    <mergeCell ref="B28:D28"/>
    <mergeCell ref="B29:I29"/>
    <mergeCell ref="B30:I30"/>
    <mergeCell ref="B31:I31"/>
    <mergeCell ref="B32:I32"/>
    <mergeCell ref="B33:I33"/>
    <mergeCell ref="B34:I34"/>
    <mergeCell ref="B35:I35"/>
    <mergeCell ref="B36:I36"/>
    <mergeCell ref="B38:I38"/>
    <mergeCell ref="B39:I39"/>
    <mergeCell ref="B40:I40"/>
    <mergeCell ref="B41:I41"/>
    <mergeCell ref="B42:I42"/>
    <mergeCell ref="B43:I43"/>
    <mergeCell ref="B45:I45"/>
    <mergeCell ref="B46:I46"/>
    <mergeCell ref="B47:I47"/>
    <mergeCell ref="B48:I48"/>
    <mergeCell ref="B49:I49"/>
    <mergeCell ref="B50:I50"/>
    <mergeCell ref="B52:I52"/>
    <mergeCell ref="B53:I53"/>
    <mergeCell ref="B54:I54"/>
    <mergeCell ref="B55:I55"/>
    <mergeCell ref="B56:I56"/>
    <mergeCell ref="B58:D58"/>
    <mergeCell ref="B115:I115"/>
    <mergeCell ref="B116:G116"/>
    <mergeCell ref="H116:I116"/>
    <mergeCell ref="B117:G117"/>
    <mergeCell ref="H117:I117"/>
    <mergeCell ref="B118:G118"/>
    <mergeCell ref="H118:I118"/>
    <mergeCell ref="B119:G119"/>
    <mergeCell ref="H119:I119"/>
    <mergeCell ref="B120:G120"/>
    <mergeCell ref="H120:I120"/>
    <mergeCell ref="B121:G121"/>
    <mergeCell ref="H121:I121"/>
    <mergeCell ref="H122:I122"/>
    <mergeCell ref="B122:G122"/>
    <mergeCell ref="B123:G123"/>
    <mergeCell ref="H123:I123"/>
    <mergeCell ref="B124:G124"/>
    <mergeCell ref="H124:I124"/>
    <mergeCell ref="B125:G125"/>
    <mergeCell ref="H125:I125"/>
    <mergeCell ref="B132:I132"/>
    <mergeCell ref="D134:I134"/>
    <mergeCell ref="B139:I139"/>
    <mergeCell ref="B140:I140"/>
    <mergeCell ref="B126:G126"/>
    <mergeCell ref="H126:I126"/>
    <mergeCell ref="B127:G127"/>
    <mergeCell ref="H127:I127"/>
    <mergeCell ref="B129:I129"/>
    <mergeCell ref="B130:I130"/>
    <mergeCell ref="B131:I131"/>
    <mergeCell ref="B59:I59"/>
    <mergeCell ref="B60:I60"/>
    <mergeCell ref="B61:I61"/>
    <mergeCell ref="B62:I62"/>
    <mergeCell ref="B63:I63"/>
    <mergeCell ref="B64:I64"/>
    <mergeCell ref="B65:I65"/>
    <mergeCell ref="B66:I66"/>
    <mergeCell ref="B67:I67"/>
    <mergeCell ref="B68:I68"/>
    <mergeCell ref="B70:I70"/>
    <mergeCell ref="B71:I71"/>
    <mergeCell ref="B72:I72"/>
    <mergeCell ref="B73:I73"/>
    <mergeCell ref="B74:I74"/>
    <mergeCell ref="B76:I76"/>
    <mergeCell ref="B77:I77"/>
    <mergeCell ref="B78:I78"/>
    <mergeCell ref="B79:I79"/>
    <mergeCell ref="B80:I80"/>
    <mergeCell ref="B81:I81"/>
    <mergeCell ref="B82:I82"/>
    <mergeCell ref="B83:I83"/>
    <mergeCell ref="B84:I84"/>
    <mergeCell ref="B85:I85"/>
    <mergeCell ref="B86:I86"/>
    <mergeCell ref="B87:I87"/>
    <mergeCell ref="B89:I89"/>
    <mergeCell ref="B90:I90"/>
    <mergeCell ref="B91:I91"/>
    <mergeCell ref="B92:I92"/>
    <mergeCell ref="B93:I93"/>
    <mergeCell ref="B94:I94"/>
    <mergeCell ref="B95:I95"/>
    <mergeCell ref="B96:I96"/>
    <mergeCell ref="B97:I97"/>
    <mergeCell ref="B98:I98"/>
    <mergeCell ref="B99:I99"/>
    <mergeCell ref="D103:G103"/>
    <mergeCell ref="D104:G104"/>
    <mergeCell ref="B106:I106"/>
    <mergeCell ref="B107:I107"/>
    <mergeCell ref="B108:I108"/>
    <mergeCell ref="B109:I109"/>
    <mergeCell ref="B110:I110"/>
    <mergeCell ref="B111:I111"/>
    <mergeCell ref="B112:I112"/>
    <mergeCell ref="B113:I113"/>
    <mergeCell ref="B114:I114"/>
  </mergeCells>
  <hyperlinks>
    <hyperlink r:id="rId1" ref="D102"/>
    <hyperlink r:id="rId2" ref="D103"/>
    <hyperlink r:id="rId3" ref="D10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76" t="s">
        <v>603</v>
      </c>
    </row>
    <row r="2">
      <c r="B2" s="177"/>
      <c r="C2" s="177"/>
      <c r="D2" s="177"/>
      <c r="E2" s="177"/>
      <c r="F2" s="177"/>
      <c r="G2" s="177"/>
      <c r="H2" s="177"/>
      <c r="I2" s="177"/>
    </row>
    <row r="3">
      <c r="B3" s="178"/>
      <c r="C3" s="178"/>
      <c r="D3" s="178"/>
      <c r="E3" s="177"/>
      <c r="F3" s="177"/>
      <c r="G3" s="177"/>
      <c r="H3" s="177"/>
      <c r="I3" s="179" t="str">
        <f>FillIn!H4</f>
        <v>DeNeX Uitzendbureau B.V.</v>
      </c>
    </row>
    <row r="4">
      <c r="B4" s="178"/>
      <c r="C4" s="178"/>
      <c r="D4" s="178"/>
      <c r="E4" s="178"/>
      <c r="F4" s="178"/>
      <c r="G4" s="178"/>
      <c r="H4" s="178"/>
      <c r="I4" s="179" t="str">
        <f>FillIn!H6</f>
        <v>Gebroken Meeldijk 66, Unit 1.15</v>
      </c>
    </row>
    <row r="5">
      <c r="B5" s="178"/>
      <c r="C5" s="178"/>
      <c r="D5" s="178"/>
      <c r="E5" s="178"/>
      <c r="F5" s="178"/>
      <c r="G5" s="178"/>
      <c r="H5" s="178"/>
      <c r="I5" s="179" t="str">
        <f>FillIn!H7&amp;" "&amp;FillIn!H8</f>
        <v>2991 VD Barendrecht</v>
      </c>
    </row>
    <row r="6">
      <c r="B6" s="178"/>
      <c r="C6" s="178"/>
      <c r="D6" s="178"/>
      <c r="E6" s="177"/>
      <c r="F6" s="178"/>
      <c r="G6" s="178"/>
      <c r="H6" s="178"/>
      <c r="I6" s="177"/>
    </row>
    <row r="7">
      <c r="B7" s="180" t="str">
        <f>"Aan: "&amp;FillIn!D4</f>
        <v>Aan: dhr. G. Aslan</v>
      </c>
      <c r="C7" s="180"/>
      <c r="D7" s="178"/>
      <c r="E7" s="177"/>
      <c r="F7" s="178"/>
      <c r="G7" s="178"/>
      <c r="H7" s="178"/>
      <c r="I7" s="177"/>
    </row>
    <row r="8">
      <c r="B8" s="180" t="str">
        <f>FillIn!D5</f>
        <v>Bikscotelaan 248 /2/2140 Borgerhout</v>
      </c>
      <c r="C8" s="180"/>
      <c r="D8" s="178"/>
      <c r="E8" s="177"/>
      <c r="F8" s="178"/>
      <c r="G8" s="178"/>
      <c r="H8" s="178"/>
      <c r="I8" s="177"/>
    </row>
    <row r="9">
      <c r="B9" s="180" t="str">
        <f>FillIn!D6&amp;" "&amp;FillIn!D7</f>
        <v>2140 An twerp</v>
      </c>
      <c r="C9" s="180"/>
      <c r="D9" s="178"/>
      <c r="E9" s="178"/>
      <c r="F9" s="178"/>
      <c r="G9" s="178"/>
      <c r="H9" s="178"/>
      <c r="I9" s="178"/>
    </row>
    <row r="10">
      <c r="B10" s="181"/>
      <c r="C10" s="178"/>
      <c r="D10" s="177"/>
      <c r="E10" s="177"/>
      <c r="F10" s="177"/>
      <c r="G10" s="177"/>
      <c r="H10" s="177"/>
      <c r="I10" s="177"/>
    </row>
    <row r="11">
      <c r="B11" s="181"/>
      <c r="C11" s="178"/>
      <c r="D11" s="178"/>
      <c r="E11" s="177"/>
      <c r="F11" s="177"/>
      <c r="G11" s="177"/>
      <c r="H11" s="177"/>
      <c r="I11" s="177"/>
    </row>
    <row r="12">
      <c r="B12" s="180" t="s">
        <v>90</v>
      </c>
      <c r="C12" s="180" t="str">
        <f>FillIn!H8&amp;", "&amp;TEXT(FillIn!D38,"dd mmmm YYYY")</f>
        <v>Barendrecht, 02 november 2025</v>
      </c>
      <c r="D12" s="180"/>
      <c r="E12" s="178"/>
      <c r="F12" s="178"/>
      <c r="G12" s="178"/>
      <c r="H12" s="178"/>
      <c r="I12" s="178"/>
    </row>
    <row r="13">
      <c r="B13" s="180" t="s">
        <v>604</v>
      </c>
      <c r="C13" s="182" t="s">
        <v>605</v>
      </c>
      <c r="G13" s="178"/>
      <c r="H13" s="177"/>
      <c r="I13" s="177"/>
    </row>
    <row r="14">
      <c r="B14" s="181"/>
      <c r="C14" s="183"/>
      <c r="D14" s="178"/>
      <c r="E14" s="178"/>
      <c r="F14" s="178"/>
      <c r="G14" s="178"/>
      <c r="H14" s="178"/>
      <c r="I14" s="178"/>
    </row>
    <row r="15">
      <c r="B15" s="178"/>
      <c r="C15" s="178"/>
      <c r="D15" s="178"/>
      <c r="E15" s="177"/>
      <c r="F15" s="177"/>
      <c r="G15" s="177"/>
      <c r="H15" s="177"/>
      <c r="I15" s="177"/>
    </row>
    <row r="16">
      <c r="B16" s="150"/>
      <c r="C16" s="150"/>
      <c r="D16" s="150"/>
      <c r="E16" s="150"/>
      <c r="F16" s="150"/>
      <c r="G16" s="150"/>
      <c r="H16" s="150"/>
      <c r="I16" s="150"/>
    </row>
    <row r="17">
      <c r="B17" s="184" t="str">
        <f>"Geachte "&amp;FillIn!M3&amp;" "&amp;FillIn!N3&amp;","</f>
        <v>Geachte heer G. Aslan,</v>
      </c>
      <c r="C17" s="184"/>
      <c r="D17" s="184"/>
      <c r="E17" s="150"/>
      <c r="F17" s="150"/>
      <c r="G17" s="150"/>
      <c r="H17" s="125"/>
      <c r="I17" s="125"/>
    </row>
    <row r="18">
      <c r="B18" s="150"/>
      <c r="C18" s="150"/>
      <c r="D18" s="150"/>
      <c r="E18" s="150"/>
      <c r="F18" s="150"/>
      <c r="G18" s="150"/>
      <c r="H18" s="150"/>
      <c r="I18" s="150"/>
    </row>
    <row r="19">
      <c r="B19" s="185" t="str">
        <f>"Hierbij delen wij u mede, dat uw arbeidsovereenkomst per "&amp;IF(FillIn!D12&gt;FillIn!F14,TEXT(FillIn!D12,"dd mmmm yyyy")," tijdens proeftijd "&amp;TEXT(FillIn!D12,"dd mmmm yyyy"))&amp;" wordt beëindigd. U heeft bij ons bedrijf vanaf "&amp;TEXT(FillIn!D11,"dd mmmm yyyy")&amp;" tot en met "&amp;TEXT(FillIn!D12,"dd mmmm yyyy")&amp;"."</f>
        <v>Hierbij delen wij u mede, dat uw arbeidsovereenkomst per 17 mei 2026 wordt beëindigd. U heeft bij ons bedrijf vanaf 18 november 2025 tot en met 17 mei 2026.</v>
      </c>
    </row>
    <row r="20">
      <c r="B20" s="150"/>
      <c r="C20" s="150"/>
      <c r="D20" s="150"/>
      <c r="E20" s="150"/>
      <c r="F20" s="150"/>
      <c r="G20" s="150"/>
      <c r="H20" s="150"/>
      <c r="I20" s="150"/>
    </row>
    <row r="21">
      <c r="B21" s="186" t="s">
        <v>606</v>
      </c>
    </row>
    <row r="22">
      <c r="B22" s="186" t="s">
        <v>607</v>
      </c>
    </row>
    <row r="23">
      <c r="B23" s="150"/>
      <c r="C23" s="150"/>
      <c r="D23" s="150"/>
      <c r="E23" s="150"/>
      <c r="F23" s="150"/>
      <c r="G23" s="150"/>
      <c r="H23" s="150"/>
      <c r="I23" s="150"/>
    </row>
    <row r="24">
      <c r="B24" s="184" t="s">
        <v>608</v>
      </c>
      <c r="C24" s="184"/>
      <c r="D24" s="150"/>
      <c r="E24" s="150"/>
      <c r="F24" s="150"/>
      <c r="G24" s="150"/>
      <c r="H24" s="150"/>
      <c r="I24" s="150"/>
    </row>
    <row r="25">
      <c r="B25" s="150"/>
      <c r="C25" s="150"/>
      <c r="D25" s="150"/>
      <c r="E25" s="150"/>
      <c r="F25" s="150"/>
      <c r="G25" s="150"/>
      <c r="H25" s="125"/>
      <c r="I25" s="125"/>
    </row>
    <row r="26">
      <c r="B26" s="150"/>
      <c r="C26" s="150"/>
      <c r="D26" s="150"/>
      <c r="E26" s="125"/>
      <c r="F26" s="125"/>
      <c r="G26" s="125"/>
      <c r="H26" s="125"/>
      <c r="I26" s="125"/>
    </row>
    <row r="27">
      <c r="B27" s="150"/>
      <c r="C27" s="150"/>
      <c r="D27" s="150"/>
      <c r="E27" s="150"/>
      <c r="F27" s="150"/>
      <c r="G27" s="150"/>
      <c r="H27" s="150"/>
      <c r="I27" s="150"/>
    </row>
    <row r="28">
      <c r="B28" s="150"/>
      <c r="C28" s="150"/>
      <c r="D28" s="150"/>
      <c r="E28" s="150"/>
      <c r="F28" s="150"/>
      <c r="G28" s="150"/>
      <c r="H28" s="150"/>
      <c r="I28" s="125"/>
    </row>
    <row r="29">
      <c r="B29" s="150"/>
      <c r="C29" s="150"/>
      <c r="D29" s="150"/>
      <c r="E29" s="150"/>
      <c r="F29" s="150"/>
      <c r="G29" s="150"/>
      <c r="H29" s="150"/>
      <c r="I29" s="150"/>
    </row>
    <row r="30">
      <c r="B30" s="187" t="str">
        <f>FillIn!M5</f>
        <v>de heer D.O. Ibryam</v>
      </c>
      <c r="C30" s="187"/>
      <c r="D30" s="188"/>
      <c r="E30" s="150"/>
      <c r="F30" s="150"/>
      <c r="G30" s="150"/>
      <c r="H30" s="150"/>
      <c r="I30" s="150"/>
    </row>
    <row r="31">
      <c r="B31" s="152"/>
      <c r="E31" s="150"/>
      <c r="F31" s="150"/>
      <c r="G31" s="150"/>
      <c r="H31" s="150"/>
      <c r="I31" s="142"/>
    </row>
    <row r="32">
      <c r="B32" s="126"/>
      <c r="H32" s="150"/>
      <c r="I32" s="150"/>
    </row>
    <row r="33">
      <c r="B33" s="153"/>
      <c r="C33" s="150"/>
      <c r="D33" s="150"/>
      <c r="E33" s="150"/>
      <c r="F33" s="150"/>
      <c r="G33" s="150"/>
      <c r="H33" s="150"/>
      <c r="I33" s="142"/>
    </row>
    <row r="34">
      <c r="B34" s="137"/>
      <c r="E34" s="150"/>
      <c r="F34" s="150"/>
      <c r="G34" s="150"/>
      <c r="H34" s="150"/>
      <c r="I34" s="142"/>
    </row>
    <row r="35">
      <c r="B35" s="126"/>
      <c r="H35" s="125"/>
      <c r="I35" s="125"/>
    </row>
    <row r="36">
      <c r="B36" s="126"/>
      <c r="F36" s="125"/>
      <c r="G36" s="125"/>
      <c r="H36" s="125"/>
    </row>
    <row r="37">
      <c r="B37" s="126"/>
    </row>
    <row r="38">
      <c r="B38" s="126"/>
      <c r="H38" s="125"/>
      <c r="I38" s="125"/>
    </row>
    <row r="39">
      <c r="B39" s="126"/>
      <c r="E39" s="125"/>
      <c r="F39" s="125"/>
      <c r="G39" s="125"/>
      <c r="H39" s="125"/>
    </row>
    <row r="40">
      <c r="B40" s="153"/>
      <c r="C40" s="150"/>
      <c r="D40" s="150"/>
      <c r="E40" s="150"/>
      <c r="F40" s="150"/>
      <c r="G40" s="150"/>
      <c r="H40" s="150"/>
      <c r="I40" s="142"/>
    </row>
    <row r="41">
      <c r="B41" s="137"/>
      <c r="E41" s="150"/>
      <c r="F41" s="150"/>
      <c r="G41" s="150"/>
      <c r="H41" s="150"/>
      <c r="I41" s="126"/>
    </row>
    <row r="42">
      <c r="B42" s="126"/>
    </row>
    <row r="43">
      <c r="B43" s="126"/>
    </row>
    <row r="44">
      <c r="B44" s="126"/>
    </row>
    <row r="45">
      <c r="B45" s="126"/>
    </row>
    <row r="46">
      <c r="B46" s="153"/>
      <c r="C46" s="150"/>
      <c r="D46" s="150"/>
      <c r="E46" s="150"/>
      <c r="F46" s="150"/>
      <c r="G46" s="150"/>
      <c r="H46" s="150"/>
      <c r="I46" s="126"/>
    </row>
    <row r="47">
      <c r="B47" s="155"/>
      <c r="E47" s="150"/>
      <c r="F47" s="125"/>
      <c r="G47" s="125"/>
      <c r="H47" s="125"/>
    </row>
    <row r="48">
      <c r="B48" s="156"/>
      <c r="E48" s="125"/>
      <c r="F48" s="125"/>
      <c r="G48" s="125"/>
      <c r="H48" s="125"/>
    </row>
    <row r="49">
      <c r="B49" s="152"/>
      <c r="D49" s="125"/>
      <c r="E49" s="125"/>
      <c r="F49" s="125"/>
      <c r="G49" s="125"/>
      <c r="H49" s="125"/>
    </row>
    <row r="50">
      <c r="B50" s="152"/>
      <c r="D50" s="150"/>
      <c r="E50" s="150"/>
      <c r="F50" s="150"/>
      <c r="G50" s="150"/>
      <c r="H50" s="150"/>
      <c r="I50" s="126"/>
    </row>
    <row r="51">
      <c r="B51" s="152"/>
      <c r="C51" s="150"/>
      <c r="D51" s="150"/>
      <c r="E51" s="150"/>
      <c r="F51" s="150"/>
      <c r="G51" s="150"/>
      <c r="H51" s="150"/>
      <c r="I51" s="126"/>
    </row>
    <row r="52">
      <c r="B52" s="126"/>
      <c r="E52" s="125"/>
      <c r="F52" s="125"/>
      <c r="G52" s="125"/>
      <c r="H52" s="125"/>
    </row>
    <row r="53">
      <c r="B53" s="144"/>
    </row>
    <row r="54">
      <c r="B54" s="144"/>
    </row>
    <row r="55">
      <c r="B55" s="157"/>
      <c r="C55" s="150"/>
      <c r="D55" s="150"/>
      <c r="E55" s="125"/>
      <c r="F55" s="125"/>
      <c r="G55" s="125"/>
      <c r="H55" s="125"/>
    </row>
    <row r="56">
      <c r="B56" s="137"/>
      <c r="E56" s="125"/>
      <c r="F56" s="125"/>
      <c r="G56" s="125"/>
      <c r="H56" s="125"/>
    </row>
    <row r="57">
      <c r="B57" s="144"/>
    </row>
    <row r="58">
      <c r="B58" s="144"/>
      <c r="H58" s="150"/>
      <c r="I58" s="150"/>
    </row>
    <row r="59">
      <c r="B59" s="145"/>
      <c r="C59" s="125"/>
      <c r="D59" s="125"/>
      <c r="E59" s="125"/>
      <c r="F59" s="125"/>
      <c r="G59" s="125"/>
      <c r="H59" s="125"/>
    </row>
    <row r="60">
      <c r="B60" s="137"/>
      <c r="E60" s="125"/>
      <c r="F60" s="125"/>
      <c r="G60" s="125"/>
      <c r="H60" s="125"/>
    </row>
    <row r="61">
      <c r="B61" s="144"/>
      <c r="F61" s="150"/>
      <c r="G61" s="150"/>
      <c r="H61" s="150"/>
      <c r="I61" s="126"/>
    </row>
    <row r="62">
      <c r="B62" s="144"/>
    </row>
    <row r="63">
      <c r="B63" s="144"/>
      <c r="E63" s="150"/>
      <c r="F63" s="150"/>
      <c r="G63" s="150"/>
      <c r="H63" s="150"/>
      <c r="I63" s="126"/>
    </row>
    <row r="64">
      <c r="B64" s="145"/>
      <c r="C64" s="125"/>
      <c r="D64" s="125"/>
      <c r="E64" s="125"/>
      <c r="F64" s="125"/>
      <c r="G64" s="125"/>
      <c r="H64" s="125"/>
    </row>
    <row r="65">
      <c r="B65" s="137"/>
      <c r="E65" s="150"/>
      <c r="F65" s="150"/>
      <c r="G65" s="150"/>
      <c r="H65" s="150"/>
      <c r="I65" s="126"/>
    </row>
    <row r="66">
      <c r="B66" s="144"/>
    </row>
    <row r="67">
      <c r="B67" s="144"/>
      <c r="E67" s="125"/>
      <c r="F67" s="125"/>
      <c r="G67" s="125"/>
      <c r="H67" s="125"/>
    </row>
    <row r="68">
      <c r="B68" s="157"/>
      <c r="C68" s="150"/>
      <c r="D68" s="150"/>
      <c r="E68" s="150"/>
      <c r="F68" s="150"/>
      <c r="G68" s="150"/>
      <c r="H68" s="150"/>
      <c r="I68" s="126"/>
    </row>
    <row r="69">
      <c r="B69" s="137"/>
      <c r="E69" s="150"/>
      <c r="F69" s="150"/>
      <c r="G69" s="150"/>
      <c r="H69" s="150"/>
      <c r="I69" s="126"/>
    </row>
    <row r="70">
      <c r="B70" s="144"/>
      <c r="H70" s="125"/>
      <c r="I70" s="125"/>
    </row>
    <row r="71">
      <c r="B71" s="144"/>
      <c r="H71" s="150"/>
      <c r="I71" s="150"/>
    </row>
    <row r="72">
      <c r="B72" s="157"/>
      <c r="C72" s="150"/>
      <c r="D72" s="150"/>
      <c r="E72" s="150"/>
      <c r="F72" s="150"/>
      <c r="G72" s="150"/>
      <c r="H72" s="125"/>
      <c r="I72" s="125"/>
    </row>
    <row r="73">
      <c r="B73" s="137"/>
      <c r="E73" s="125"/>
      <c r="F73" s="125"/>
      <c r="G73" s="125"/>
      <c r="H73" s="125"/>
    </row>
    <row r="74">
      <c r="B74" s="144"/>
    </row>
    <row r="75">
      <c r="B75" s="152"/>
      <c r="E75" s="150"/>
      <c r="F75" s="150"/>
      <c r="G75" s="150"/>
      <c r="H75" s="150"/>
      <c r="I75" s="144"/>
    </row>
    <row r="76">
      <c r="B76" s="152"/>
      <c r="H76" s="125"/>
      <c r="I76" s="125"/>
    </row>
    <row r="77">
      <c r="B77" s="152"/>
      <c r="E77" s="125"/>
      <c r="F77" s="125"/>
      <c r="G77" s="125"/>
      <c r="H77" s="125"/>
    </row>
    <row r="78">
      <c r="B78" s="157"/>
      <c r="C78" s="150"/>
      <c r="D78" s="150"/>
      <c r="E78" s="125"/>
      <c r="F78" s="125"/>
      <c r="G78" s="125"/>
      <c r="H78" s="125"/>
    </row>
    <row r="79">
      <c r="B79" s="137"/>
      <c r="E79" s="150"/>
      <c r="F79" s="150"/>
      <c r="G79" s="150"/>
      <c r="H79" s="150"/>
      <c r="I79" s="144"/>
    </row>
    <row r="80">
      <c r="B80" s="144"/>
    </row>
    <row r="81">
      <c r="B81" s="152"/>
      <c r="D81" s="150"/>
      <c r="E81" s="125"/>
      <c r="F81" s="125"/>
      <c r="G81" s="125"/>
      <c r="H81" s="125"/>
    </row>
    <row r="82">
      <c r="B82" s="152"/>
      <c r="C82" s="125"/>
      <c r="D82" s="125"/>
      <c r="E82" s="125"/>
      <c r="F82" s="125"/>
      <c r="G82" s="125"/>
      <c r="H82" s="125"/>
    </row>
    <row r="83">
      <c r="B83" s="152"/>
      <c r="E83" s="150"/>
      <c r="F83" s="150"/>
      <c r="G83" s="150"/>
      <c r="H83" s="150"/>
      <c r="I83" s="144"/>
    </row>
    <row r="84">
      <c r="B84" s="152"/>
      <c r="E84" s="125"/>
      <c r="F84" s="125"/>
      <c r="G84" s="125"/>
      <c r="H84" s="125"/>
    </row>
    <row r="85">
      <c r="B85" s="158"/>
    </row>
    <row r="86">
      <c r="B86" s="157"/>
      <c r="C86" s="150"/>
      <c r="D86" s="150"/>
      <c r="E86" s="125"/>
      <c r="F86" s="125"/>
      <c r="G86" s="125"/>
      <c r="H86" s="125"/>
    </row>
    <row r="87">
      <c r="B87" s="137"/>
      <c r="E87" s="125"/>
      <c r="F87" s="125"/>
      <c r="G87" s="125"/>
      <c r="H87" s="125"/>
    </row>
    <row r="88">
      <c r="B88" s="144"/>
    </row>
    <row r="89">
      <c r="B89" s="144"/>
      <c r="E89" s="150"/>
      <c r="F89" s="150"/>
      <c r="G89" s="150"/>
      <c r="H89" s="150"/>
      <c r="I89" s="144"/>
    </row>
    <row r="90">
      <c r="B90" s="145"/>
      <c r="C90" s="125"/>
      <c r="D90" s="125"/>
      <c r="E90" s="125"/>
      <c r="F90" s="125"/>
      <c r="G90" s="125"/>
      <c r="H90" s="125"/>
    </row>
    <row r="91">
      <c r="B91" s="137"/>
      <c r="C91" s="150"/>
      <c r="D91" s="150"/>
      <c r="E91" s="150"/>
      <c r="F91" s="150"/>
      <c r="G91" s="150"/>
      <c r="H91" s="150"/>
      <c r="I91" s="144"/>
    </row>
    <row r="92">
      <c r="B92" s="144"/>
      <c r="E92" s="150"/>
      <c r="F92" s="150"/>
      <c r="G92" s="150"/>
      <c r="H92" s="150"/>
      <c r="I92" s="144"/>
    </row>
    <row r="93">
      <c r="B93" s="152"/>
      <c r="C93" s="150"/>
      <c r="D93" s="169"/>
      <c r="E93" s="150"/>
      <c r="F93" s="150"/>
      <c r="G93" s="150"/>
      <c r="H93" s="150"/>
      <c r="I93" s="144"/>
    </row>
    <row r="94">
      <c r="B94" s="152"/>
      <c r="D94" s="169"/>
      <c r="H94" s="125"/>
      <c r="I94" s="125"/>
    </row>
    <row r="95">
      <c r="B95" s="152"/>
      <c r="C95" s="150"/>
      <c r="D95" s="169"/>
    </row>
    <row r="96">
      <c r="B96" s="158"/>
    </row>
    <row r="97">
      <c r="B97" s="145"/>
      <c r="C97" s="125"/>
      <c r="D97" s="125"/>
      <c r="E97" s="125"/>
      <c r="F97" s="125"/>
      <c r="G97" s="125"/>
      <c r="H97" s="125"/>
    </row>
    <row r="98">
      <c r="B98" s="137"/>
      <c r="E98" s="125"/>
      <c r="F98" s="125"/>
      <c r="G98" s="125"/>
      <c r="H98" s="125"/>
    </row>
    <row r="99">
      <c r="B99" s="144"/>
      <c r="E99" s="150"/>
      <c r="F99" s="150"/>
      <c r="G99" s="150"/>
      <c r="H99" s="150"/>
      <c r="I99" s="144"/>
    </row>
    <row r="100">
      <c r="B100" s="144"/>
      <c r="I100" s="150"/>
    </row>
    <row r="101">
      <c r="B101" s="144"/>
    </row>
    <row r="102">
      <c r="B102" s="144"/>
    </row>
    <row r="103">
      <c r="B103" s="157"/>
      <c r="C103" s="150"/>
      <c r="D103" s="150"/>
      <c r="E103" s="150"/>
      <c r="F103" s="150"/>
      <c r="G103" s="150"/>
      <c r="H103" s="150"/>
      <c r="I103" s="144"/>
    </row>
    <row r="104">
      <c r="B104" s="137"/>
      <c r="E104" s="150"/>
      <c r="F104" s="150"/>
      <c r="G104" s="150"/>
      <c r="H104" s="150"/>
      <c r="I104" s="144"/>
    </row>
    <row r="105">
      <c r="B105" s="135"/>
      <c r="H105" s="125"/>
      <c r="I105" s="125"/>
    </row>
    <row r="106">
      <c r="B106" s="125"/>
      <c r="C106" s="125"/>
      <c r="D106" s="125"/>
      <c r="E106" s="125"/>
      <c r="F106" s="125"/>
      <c r="G106" s="125"/>
      <c r="H106" s="125"/>
    </row>
    <row r="107">
      <c r="B107" s="139"/>
      <c r="C107" s="147"/>
      <c r="D107" s="148"/>
      <c r="E107" s="150"/>
      <c r="F107" s="150"/>
      <c r="G107" s="150"/>
      <c r="H107" s="150"/>
      <c r="I107" s="144"/>
    </row>
    <row r="108">
      <c r="B108" s="150"/>
      <c r="C108" s="150"/>
      <c r="D108" s="150"/>
      <c r="E108" s="150"/>
      <c r="F108" s="150"/>
      <c r="G108" s="150"/>
      <c r="H108" s="150"/>
      <c r="I108" s="144"/>
    </row>
    <row r="109">
      <c r="B109" s="125"/>
      <c r="C109" s="125"/>
      <c r="D109" s="125"/>
      <c r="E109" s="125"/>
      <c r="F109" s="125"/>
      <c r="G109" s="125"/>
      <c r="H109" s="125"/>
    </row>
    <row r="110">
      <c r="B110" s="150"/>
      <c r="C110" s="150"/>
      <c r="D110" s="150"/>
      <c r="E110" s="125"/>
      <c r="F110" s="125"/>
      <c r="G110" s="125"/>
      <c r="H110" s="125"/>
    </row>
    <row r="111">
      <c r="B111" s="150"/>
      <c r="C111" s="150"/>
      <c r="D111" s="150"/>
      <c r="E111" s="150"/>
      <c r="F111" s="150"/>
      <c r="G111" s="150"/>
      <c r="H111" s="150"/>
      <c r="I111" s="144"/>
    </row>
    <row r="112">
      <c r="B112" s="144"/>
      <c r="E112" s="125"/>
      <c r="F112" s="125"/>
      <c r="G112" s="125"/>
      <c r="H112" s="125"/>
    </row>
    <row r="113">
      <c r="B113" s="130"/>
      <c r="C113" s="150"/>
      <c r="D113" s="150"/>
      <c r="E113" s="125"/>
      <c r="F113" s="125"/>
      <c r="G113" s="125"/>
      <c r="H113" s="125"/>
    </row>
  </sheetData>
  <mergeCells count="65">
    <mergeCell ref="B87:D87"/>
    <mergeCell ref="B88:I88"/>
    <mergeCell ref="B89:D89"/>
    <mergeCell ref="B92:D92"/>
    <mergeCell ref="D94:G94"/>
    <mergeCell ref="D95:I95"/>
    <mergeCell ref="B96:I96"/>
    <mergeCell ref="B104:D104"/>
    <mergeCell ref="B112:D112"/>
    <mergeCell ref="B94:C94"/>
    <mergeCell ref="B98:D98"/>
    <mergeCell ref="B99:D99"/>
    <mergeCell ref="B100:H100"/>
    <mergeCell ref="B101:I101"/>
    <mergeCell ref="B102:I102"/>
    <mergeCell ref="B105:G105"/>
    <mergeCell ref="B1:I1"/>
    <mergeCell ref="C13:F13"/>
    <mergeCell ref="B19:I19"/>
    <mergeCell ref="B21:I21"/>
    <mergeCell ref="B22:I22"/>
    <mergeCell ref="B31:D31"/>
    <mergeCell ref="B32:G32"/>
    <mergeCell ref="B34:D34"/>
    <mergeCell ref="B35:G35"/>
    <mergeCell ref="B36:E36"/>
    <mergeCell ref="B37:I37"/>
    <mergeCell ref="B38:G38"/>
    <mergeCell ref="B39:D39"/>
    <mergeCell ref="B41:D41"/>
    <mergeCell ref="B42:I42"/>
    <mergeCell ref="B43:I43"/>
    <mergeCell ref="B44:I44"/>
    <mergeCell ref="B45:I45"/>
    <mergeCell ref="B47:D47"/>
    <mergeCell ref="B48:D48"/>
    <mergeCell ref="B49:C49"/>
    <mergeCell ref="B50:C50"/>
    <mergeCell ref="B52:D52"/>
    <mergeCell ref="B53:I53"/>
    <mergeCell ref="B54:I54"/>
    <mergeCell ref="B56:D56"/>
    <mergeCell ref="B57:I57"/>
    <mergeCell ref="B58:G58"/>
    <mergeCell ref="B60:D60"/>
    <mergeCell ref="B61:E61"/>
    <mergeCell ref="B62:I62"/>
    <mergeCell ref="B63:D63"/>
    <mergeCell ref="B65:D65"/>
    <mergeCell ref="B66:I66"/>
    <mergeCell ref="B67:D67"/>
    <mergeCell ref="B69:D69"/>
    <mergeCell ref="B70:G70"/>
    <mergeCell ref="B71:G71"/>
    <mergeCell ref="B73:D73"/>
    <mergeCell ref="B74:I74"/>
    <mergeCell ref="B75:D75"/>
    <mergeCell ref="B76:G76"/>
    <mergeCell ref="B77:D77"/>
    <mergeCell ref="B79:D79"/>
    <mergeCell ref="B80:I80"/>
    <mergeCell ref="B81:C81"/>
    <mergeCell ref="B83:D83"/>
    <mergeCell ref="B84:D84"/>
    <mergeCell ref="B85:I8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76" t="s">
        <v>609</v>
      </c>
    </row>
    <row r="2">
      <c r="B2" s="177"/>
      <c r="C2" s="177"/>
      <c r="D2" s="177"/>
      <c r="E2" s="177"/>
      <c r="F2" s="177"/>
      <c r="G2" s="177"/>
      <c r="H2" s="177"/>
      <c r="I2" s="177"/>
    </row>
    <row r="3">
      <c r="B3" s="178"/>
      <c r="C3" s="178"/>
      <c r="D3" s="178"/>
      <c r="E3" s="177"/>
      <c r="F3" s="177"/>
      <c r="G3" s="177"/>
      <c r="H3" s="177"/>
      <c r="I3" s="179" t="str">
        <f>FillIn!D4</f>
        <v>dhr. G. Aslan</v>
      </c>
    </row>
    <row r="4">
      <c r="B4" s="178"/>
      <c r="C4" s="178"/>
      <c r="D4" s="178"/>
      <c r="E4" s="178"/>
      <c r="F4" s="178"/>
      <c r="G4" s="178"/>
      <c r="H4" s="178"/>
      <c r="I4" s="179" t="str">
        <f>FillIn!D5</f>
        <v>Bikscotelaan 248 /2/2140 Borgerhout</v>
      </c>
    </row>
    <row r="5">
      <c r="B5" s="178"/>
      <c r="C5" s="178"/>
      <c r="D5" s="178"/>
      <c r="E5" s="178"/>
      <c r="F5" s="178"/>
      <c r="G5" s="178"/>
      <c r="H5" s="178"/>
      <c r="I5" s="179" t="str">
        <f>FillIn!D6&amp;" "&amp;FillIn!D7</f>
        <v>2140 An twerp</v>
      </c>
    </row>
    <row r="6">
      <c r="B6" s="178"/>
      <c r="C6" s="178"/>
      <c r="D6" s="178"/>
      <c r="E6" s="177"/>
      <c r="F6" s="178"/>
      <c r="G6" s="178"/>
      <c r="H6" s="178"/>
      <c r="I6" s="177"/>
    </row>
    <row r="7">
      <c r="B7" s="180" t="str">
        <f>"Aan: "&amp;FillIn!H4</f>
        <v>Aan: DeNeX Uitzendbureau B.V.</v>
      </c>
      <c r="C7" s="180"/>
      <c r="D7" s="178"/>
      <c r="E7" s="177"/>
      <c r="F7" s="178"/>
      <c r="G7" s="178"/>
      <c r="H7" s="178"/>
      <c r="I7" s="177"/>
    </row>
    <row r="8">
      <c r="B8" s="180" t="str">
        <f>FillIn!H6</f>
        <v>Gebroken Meeldijk 66, Unit 1.15</v>
      </c>
      <c r="C8" s="180"/>
      <c r="D8" s="178"/>
      <c r="E8" s="177"/>
      <c r="F8" s="178"/>
      <c r="G8" s="178"/>
      <c r="H8" s="178"/>
      <c r="I8" s="177"/>
    </row>
    <row r="9">
      <c r="B9" s="180" t="str">
        <f>FillIn!H7&amp;" "&amp;FillIn!H8</f>
        <v>2991 VD Barendrecht</v>
      </c>
      <c r="C9" s="180"/>
      <c r="D9" s="178"/>
      <c r="E9" s="178"/>
      <c r="F9" s="178"/>
      <c r="G9" s="178"/>
      <c r="H9" s="178"/>
      <c r="I9" s="178"/>
    </row>
    <row r="10">
      <c r="B10" s="181"/>
      <c r="C10" s="178"/>
      <c r="D10" s="177"/>
      <c r="E10" s="177"/>
      <c r="F10" s="177"/>
      <c r="G10" s="177"/>
      <c r="H10" s="177"/>
      <c r="I10" s="177"/>
    </row>
    <row r="11">
      <c r="B11" s="181"/>
      <c r="C11" s="178"/>
      <c r="D11" s="178"/>
      <c r="E11" s="177"/>
      <c r="F11" s="177"/>
      <c r="G11" s="177"/>
      <c r="H11" s="177"/>
      <c r="I11" s="177"/>
    </row>
    <row r="12">
      <c r="B12" s="180" t="s">
        <v>90</v>
      </c>
      <c r="C12" s="180" t="str">
        <f>FillIn!H8&amp;", "&amp;TEXT(FillIn!D38,"dd mmmm YYYY")</f>
        <v>Barendrecht, 02 november 2025</v>
      </c>
      <c r="D12" s="180"/>
      <c r="E12" s="178"/>
      <c r="F12" s="178"/>
      <c r="G12" s="178"/>
      <c r="H12" s="178"/>
      <c r="I12" s="178"/>
    </row>
    <row r="13">
      <c r="B13" s="180" t="s">
        <v>604</v>
      </c>
      <c r="C13" s="182" t="s">
        <v>610</v>
      </c>
      <c r="G13" s="178"/>
      <c r="H13" s="177"/>
      <c r="I13" s="177"/>
    </row>
    <row r="14">
      <c r="B14" s="181"/>
      <c r="C14" s="183"/>
      <c r="D14" s="178"/>
      <c r="E14" s="178"/>
      <c r="F14" s="178"/>
      <c r="G14" s="178"/>
      <c r="H14" s="178"/>
      <c r="I14" s="178"/>
    </row>
    <row r="15">
      <c r="B15" s="178"/>
      <c r="C15" s="178"/>
      <c r="D15" s="178"/>
      <c r="E15" s="177"/>
      <c r="F15" s="177"/>
      <c r="G15" s="177"/>
      <c r="H15" s="177"/>
      <c r="I15" s="177"/>
    </row>
    <row r="16">
      <c r="B16" s="150"/>
      <c r="C16" s="150"/>
      <c r="D16" s="150"/>
      <c r="E16" s="150"/>
      <c r="F16" s="150"/>
      <c r="G16" s="150"/>
      <c r="H16" s="150"/>
      <c r="I16" s="150"/>
    </row>
    <row r="17">
      <c r="B17" s="184" t="str">
        <f>"Geachte "&amp;FillIn!N5&amp;","</f>
        <v>Geachte heer D.O. Ibryam,</v>
      </c>
      <c r="C17" s="184"/>
      <c r="D17" s="184"/>
      <c r="E17" s="150"/>
      <c r="F17" s="150"/>
      <c r="G17" s="150"/>
      <c r="H17" s="125"/>
      <c r="I17" s="125"/>
    </row>
    <row r="18">
      <c r="B18" s="150"/>
      <c r="C18" s="150"/>
      <c r="D18" s="150"/>
      <c r="E18" s="150"/>
      <c r="F18" s="150"/>
      <c r="G18" s="150"/>
      <c r="H18" s="150"/>
      <c r="I18" s="150"/>
    </row>
    <row r="19">
      <c r="B19" s="185" t="str">
        <f>"Hierbij deel ik u mede dat ik zelf ontslag neem per "&amp;TEXT(FillIn!D12,"dd mmmm yyyy")&amp;". Ik zeg mijn arbeidsovereenkomst op per "&amp;TEXT(FillIn!D12,"dd mmmm yyyy")&amp;" en teven is dat mijn laatste werkdag bij uw bedrijf."</f>
        <v>Hierbij deel ik u mede dat ik zelf ontslag neem per 17 mei 2026. Ik zeg mijn arbeidsovereenkomst op per 17 mei 2026 en teven is dat mijn laatste werkdag bij uw bedrijf.</v>
      </c>
    </row>
    <row r="20">
      <c r="B20" s="150"/>
      <c r="C20" s="150"/>
      <c r="D20" s="150"/>
      <c r="E20" s="150"/>
      <c r="F20" s="150"/>
      <c r="G20" s="150"/>
      <c r="H20" s="150"/>
      <c r="I20" s="150"/>
    </row>
    <row r="21">
      <c r="B21" s="186" t="s">
        <v>606</v>
      </c>
    </row>
    <row r="22">
      <c r="B22" s="186" t="s">
        <v>607</v>
      </c>
    </row>
    <row r="23">
      <c r="B23" s="150"/>
      <c r="C23" s="150"/>
      <c r="D23" s="150"/>
      <c r="E23" s="150"/>
      <c r="F23" s="150"/>
      <c r="G23" s="150"/>
      <c r="H23" s="150"/>
      <c r="I23" s="150"/>
    </row>
    <row r="24">
      <c r="B24" s="184" t="s">
        <v>608</v>
      </c>
      <c r="C24" s="184"/>
      <c r="D24" s="150"/>
      <c r="E24" s="150"/>
      <c r="F24" s="150"/>
      <c r="G24" s="150"/>
      <c r="H24" s="150"/>
      <c r="I24" s="150"/>
    </row>
    <row r="25">
      <c r="B25" s="150"/>
      <c r="C25" s="150"/>
      <c r="D25" s="150"/>
      <c r="E25" s="150"/>
      <c r="F25" s="150"/>
      <c r="G25" s="150"/>
      <c r="H25" s="125"/>
      <c r="I25" s="125"/>
    </row>
    <row r="26">
      <c r="B26" s="150"/>
      <c r="C26" s="150"/>
      <c r="D26" s="150"/>
      <c r="E26" s="125"/>
      <c r="F26" s="125"/>
      <c r="G26" s="125"/>
      <c r="H26" s="125"/>
      <c r="I26" s="125"/>
    </row>
    <row r="27">
      <c r="B27" s="150"/>
      <c r="C27" s="150"/>
      <c r="D27" s="150"/>
      <c r="E27" s="150"/>
      <c r="F27" s="150"/>
      <c r="G27" s="150"/>
      <c r="H27" s="150"/>
      <c r="I27" s="150"/>
    </row>
    <row r="28">
      <c r="B28" s="150"/>
      <c r="C28" s="150"/>
      <c r="D28" s="150"/>
      <c r="E28" s="150"/>
      <c r="F28" s="150"/>
      <c r="G28" s="150"/>
      <c r="H28" s="150"/>
      <c r="I28" s="125"/>
    </row>
    <row r="29">
      <c r="B29" s="150"/>
      <c r="C29" s="150"/>
      <c r="D29" s="150"/>
      <c r="E29" s="150"/>
      <c r="F29" s="150"/>
      <c r="G29" s="150"/>
      <c r="H29" s="150"/>
      <c r="I29" s="150"/>
    </row>
    <row r="30">
      <c r="B30" s="187" t="str">
        <f>FillIn!M3&amp;" "&amp;FillIn!N3</f>
        <v>heer G. Aslan</v>
      </c>
      <c r="C30" s="187"/>
      <c r="D30" s="188"/>
      <c r="E30" s="150"/>
      <c r="F30" s="150"/>
      <c r="G30" s="150"/>
      <c r="H30" s="150"/>
      <c r="I30" s="150"/>
    </row>
    <row r="31">
      <c r="B31" s="152"/>
      <c r="E31" s="150"/>
      <c r="F31" s="150"/>
      <c r="G31" s="150"/>
      <c r="H31" s="150"/>
      <c r="I31" s="142"/>
    </row>
    <row r="32">
      <c r="B32" s="126"/>
      <c r="H32" s="150"/>
      <c r="I32" s="150"/>
    </row>
    <row r="33">
      <c r="B33" s="153"/>
      <c r="C33" s="150"/>
      <c r="D33" s="150"/>
      <c r="E33" s="150"/>
      <c r="F33" s="150"/>
      <c r="G33" s="150"/>
      <c r="H33" s="150"/>
      <c r="I33" s="142"/>
    </row>
    <row r="34">
      <c r="B34" s="137"/>
      <c r="E34" s="150"/>
      <c r="F34" s="150"/>
      <c r="G34" s="150"/>
      <c r="H34" s="150"/>
      <c r="I34" s="142"/>
    </row>
    <row r="35">
      <c r="B35" s="126"/>
      <c r="H35" s="125"/>
      <c r="I35" s="125"/>
    </row>
    <row r="36">
      <c r="B36" s="126"/>
      <c r="F36" s="125"/>
      <c r="G36" s="125"/>
      <c r="H36" s="125"/>
    </row>
    <row r="37">
      <c r="B37" s="126"/>
    </row>
    <row r="38">
      <c r="B38" s="126"/>
      <c r="H38" s="125"/>
      <c r="I38" s="125"/>
    </row>
    <row r="39">
      <c r="B39" s="126"/>
      <c r="E39" s="125"/>
      <c r="F39" s="125"/>
      <c r="G39" s="125"/>
      <c r="H39" s="125"/>
    </row>
    <row r="40">
      <c r="B40" s="153"/>
      <c r="C40" s="150"/>
      <c r="D40" s="150"/>
      <c r="E40" s="150"/>
      <c r="F40" s="150"/>
      <c r="G40" s="150"/>
      <c r="H40" s="150"/>
      <c r="I40" s="142"/>
    </row>
    <row r="41">
      <c r="B41" s="137"/>
      <c r="E41" s="150"/>
      <c r="F41" s="150"/>
      <c r="G41" s="150"/>
      <c r="H41" s="150"/>
      <c r="I41" s="126"/>
    </row>
    <row r="42">
      <c r="B42" s="126"/>
    </row>
    <row r="43">
      <c r="B43" s="126"/>
    </row>
    <row r="44">
      <c r="B44" s="126"/>
    </row>
    <row r="45">
      <c r="B45" s="126"/>
    </row>
    <row r="46">
      <c r="B46" s="153"/>
      <c r="C46" s="150"/>
      <c r="D46" s="150"/>
      <c r="E46" s="150"/>
      <c r="F46" s="150"/>
      <c r="G46" s="150"/>
      <c r="H46" s="150"/>
      <c r="I46" s="126"/>
    </row>
    <row r="47">
      <c r="B47" s="155"/>
      <c r="E47" s="150"/>
      <c r="F47" s="125"/>
      <c r="G47" s="125"/>
      <c r="H47" s="125"/>
    </row>
    <row r="48">
      <c r="B48" s="156"/>
      <c r="E48" s="125"/>
      <c r="F48" s="125"/>
      <c r="G48" s="125"/>
      <c r="H48" s="125"/>
    </row>
    <row r="49">
      <c r="B49" s="152"/>
      <c r="D49" s="125"/>
      <c r="E49" s="125"/>
      <c r="F49" s="125"/>
      <c r="G49" s="125"/>
      <c r="H49" s="125"/>
    </row>
    <row r="50">
      <c r="B50" s="152"/>
      <c r="D50" s="150"/>
      <c r="E50" s="150"/>
      <c r="F50" s="150"/>
      <c r="G50" s="150"/>
      <c r="H50" s="150"/>
      <c r="I50" s="126"/>
    </row>
    <row r="51">
      <c r="B51" s="152"/>
      <c r="C51" s="150"/>
      <c r="D51" s="150"/>
      <c r="E51" s="150"/>
      <c r="F51" s="150"/>
      <c r="G51" s="150"/>
      <c r="H51" s="150"/>
      <c r="I51" s="126"/>
    </row>
    <row r="52">
      <c r="B52" s="126"/>
      <c r="E52" s="125"/>
      <c r="F52" s="125"/>
      <c r="G52" s="125"/>
      <c r="H52" s="125"/>
    </row>
    <row r="53">
      <c r="B53" s="144"/>
    </row>
    <row r="54">
      <c r="B54" s="144"/>
    </row>
    <row r="55">
      <c r="B55" s="157"/>
      <c r="C55" s="150"/>
      <c r="D55" s="150"/>
      <c r="E55" s="125"/>
      <c r="F55" s="125"/>
      <c r="G55" s="125"/>
      <c r="H55" s="125"/>
    </row>
    <row r="56">
      <c r="B56" s="137"/>
      <c r="E56" s="125"/>
      <c r="F56" s="125"/>
      <c r="G56" s="125"/>
      <c r="H56" s="125"/>
    </row>
    <row r="57">
      <c r="B57" s="144"/>
    </row>
    <row r="58">
      <c r="B58" s="144"/>
      <c r="H58" s="150"/>
      <c r="I58" s="150"/>
    </row>
    <row r="59">
      <c r="B59" s="145"/>
      <c r="C59" s="125"/>
      <c r="D59" s="125"/>
      <c r="E59" s="125"/>
      <c r="F59" s="125"/>
      <c r="G59" s="125"/>
      <c r="H59" s="125"/>
    </row>
    <row r="60">
      <c r="B60" s="137"/>
      <c r="E60" s="125"/>
      <c r="F60" s="125"/>
      <c r="G60" s="125"/>
      <c r="H60" s="125"/>
    </row>
    <row r="61">
      <c r="B61" s="144"/>
      <c r="F61" s="150"/>
      <c r="G61" s="150"/>
      <c r="H61" s="150"/>
      <c r="I61" s="126"/>
    </row>
    <row r="62">
      <c r="B62" s="144"/>
    </row>
    <row r="63">
      <c r="B63" s="144"/>
      <c r="E63" s="150"/>
      <c r="F63" s="150"/>
      <c r="G63" s="150"/>
      <c r="H63" s="150"/>
      <c r="I63" s="126"/>
    </row>
    <row r="64">
      <c r="B64" s="145"/>
      <c r="C64" s="125"/>
      <c r="D64" s="125"/>
      <c r="E64" s="125"/>
      <c r="F64" s="125"/>
      <c r="G64" s="125"/>
      <c r="H64" s="125"/>
    </row>
    <row r="65">
      <c r="B65" s="137"/>
      <c r="E65" s="150"/>
      <c r="F65" s="150"/>
      <c r="G65" s="150"/>
      <c r="H65" s="150"/>
      <c r="I65" s="126"/>
    </row>
    <row r="66">
      <c r="B66" s="144"/>
    </row>
    <row r="67">
      <c r="B67" s="144"/>
      <c r="E67" s="125"/>
      <c r="F67" s="125"/>
      <c r="G67" s="125"/>
      <c r="H67" s="125"/>
    </row>
    <row r="68">
      <c r="B68" s="157"/>
      <c r="C68" s="150"/>
      <c r="D68" s="150"/>
      <c r="E68" s="150"/>
      <c r="F68" s="150"/>
      <c r="G68" s="150"/>
      <c r="H68" s="150"/>
      <c r="I68" s="126"/>
    </row>
    <row r="69">
      <c r="B69" s="137"/>
      <c r="E69" s="150"/>
      <c r="F69" s="150"/>
      <c r="G69" s="150"/>
      <c r="H69" s="150"/>
      <c r="I69" s="126"/>
    </row>
    <row r="70">
      <c r="B70" s="144"/>
      <c r="H70" s="125"/>
      <c r="I70" s="125"/>
    </row>
    <row r="71">
      <c r="B71" s="144"/>
      <c r="H71" s="150"/>
      <c r="I71" s="150"/>
    </row>
    <row r="72">
      <c r="B72" s="157"/>
      <c r="C72" s="150"/>
      <c r="D72" s="150"/>
      <c r="E72" s="150"/>
      <c r="F72" s="150"/>
      <c r="G72" s="150"/>
      <c r="H72" s="125"/>
      <c r="I72" s="125"/>
    </row>
    <row r="73">
      <c r="B73" s="137"/>
      <c r="E73" s="125"/>
      <c r="F73" s="125"/>
      <c r="G73" s="125"/>
      <c r="H73" s="125"/>
    </row>
    <row r="74">
      <c r="B74" s="144"/>
    </row>
    <row r="75">
      <c r="B75" s="152"/>
      <c r="E75" s="150"/>
      <c r="F75" s="150"/>
      <c r="G75" s="150"/>
      <c r="H75" s="150"/>
      <c r="I75" s="144"/>
    </row>
    <row r="76">
      <c r="B76" s="152"/>
      <c r="H76" s="125"/>
      <c r="I76" s="125"/>
    </row>
    <row r="77">
      <c r="B77" s="152"/>
      <c r="E77" s="125"/>
      <c r="F77" s="125"/>
      <c r="G77" s="125"/>
      <c r="H77" s="125"/>
    </row>
    <row r="78">
      <c r="B78" s="157"/>
      <c r="C78" s="150"/>
      <c r="D78" s="150"/>
      <c r="E78" s="125"/>
      <c r="F78" s="125"/>
      <c r="G78" s="125"/>
      <c r="H78" s="125"/>
    </row>
    <row r="79">
      <c r="B79" s="137"/>
      <c r="E79" s="150"/>
      <c r="F79" s="150"/>
      <c r="G79" s="150"/>
      <c r="H79" s="150"/>
      <c r="I79" s="144"/>
    </row>
    <row r="80">
      <c r="B80" s="144"/>
    </row>
    <row r="81">
      <c r="B81" s="152"/>
      <c r="D81" s="150"/>
      <c r="E81" s="125"/>
      <c r="F81" s="125"/>
      <c r="G81" s="125"/>
      <c r="H81" s="125"/>
    </row>
    <row r="82">
      <c r="B82" s="152"/>
      <c r="C82" s="125"/>
      <c r="D82" s="125"/>
      <c r="E82" s="125"/>
      <c r="F82" s="125"/>
      <c r="G82" s="125"/>
      <c r="H82" s="125"/>
    </row>
    <row r="83">
      <c r="B83" s="152"/>
      <c r="E83" s="150"/>
      <c r="F83" s="150"/>
      <c r="G83" s="150"/>
      <c r="H83" s="150"/>
      <c r="I83" s="144"/>
    </row>
    <row r="84">
      <c r="B84" s="152"/>
      <c r="E84" s="125"/>
      <c r="F84" s="125"/>
      <c r="G84" s="125"/>
      <c r="H84" s="125"/>
    </row>
    <row r="85">
      <c r="B85" s="158"/>
    </row>
    <row r="86">
      <c r="B86" s="157"/>
      <c r="C86" s="150"/>
      <c r="D86" s="150"/>
      <c r="E86" s="125"/>
      <c r="F86" s="125"/>
      <c r="G86" s="125"/>
      <c r="H86" s="125"/>
    </row>
    <row r="87">
      <c r="B87" s="137"/>
      <c r="E87" s="125"/>
      <c r="F87" s="125"/>
      <c r="G87" s="125"/>
      <c r="H87" s="125"/>
    </row>
    <row r="88">
      <c r="B88" s="144"/>
    </row>
    <row r="89">
      <c r="B89" s="144"/>
      <c r="E89" s="150"/>
      <c r="F89" s="150"/>
      <c r="G89" s="150"/>
      <c r="H89" s="150"/>
      <c r="I89" s="144"/>
    </row>
    <row r="90">
      <c r="B90" s="145"/>
      <c r="C90" s="125"/>
      <c r="D90" s="125"/>
      <c r="E90" s="125"/>
      <c r="F90" s="125"/>
      <c r="G90" s="125"/>
      <c r="H90" s="125"/>
    </row>
    <row r="91">
      <c r="B91" s="137"/>
      <c r="C91" s="150"/>
      <c r="D91" s="150"/>
      <c r="E91" s="150"/>
      <c r="F91" s="150"/>
      <c r="G91" s="150"/>
      <c r="H91" s="150"/>
      <c r="I91" s="144"/>
    </row>
    <row r="92">
      <c r="B92" s="144"/>
      <c r="E92" s="150"/>
      <c r="F92" s="150"/>
      <c r="G92" s="150"/>
      <c r="H92" s="150"/>
      <c r="I92" s="144"/>
    </row>
    <row r="93">
      <c r="B93" s="152"/>
      <c r="C93" s="150"/>
      <c r="D93" s="169"/>
      <c r="E93" s="150"/>
      <c r="F93" s="150"/>
      <c r="G93" s="150"/>
      <c r="H93" s="150"/>
      <c r="I93" s="144"/>
    </row>
    <row r="94">
      <c r="B94" s="152"/>
      <c r="D94" s="169"/>
      <c r="H94" s="125"/>
      <c r="I94" s="125"/>
    </row>
    <row r="95">
      <c r="B95" s="152"/>
      <c r="C95" s="150"/>
      <c r="D95" s="169"/>
    </row>
    <row r="96">
      <c r="B96" s="158"/>
    </row>
    <row r="97">
      <c r="B97" s="145"/>
      <c r="C97" s="125"/>
      <c r="D97" s="125"/>
      <c r="E97" s="125"/>
      <c r="F97" s="125"/>
      <c r="G97" s="125"/>
      <c r="H97" s="125"/>
    </row>
    <row r="98">
      <c r="B98" s="137"/>
      <c r="E98" s="125"/>
      <c r="F98" s="125"/>
      <c r="G98" s="125"/>
      <c r="H98" s="125"/>
    </row>
    <row r="99">
      <c r="B99" s="144"/>
      <c r="E99" s="150"/>
      <c r="F99" s="150"/>
      <c r="G99" s="150"/>
      <c r="H99" s="150"/>
      <c r="I99" s="144"/>
    </row>
    <row r="100">
      <c r="B100" s="144"/>
      <c r="I100" s="150"/>
    </row>
    <row r="101">
      <c r="B101" s="144"/>
    </row>
    <row r="102">
      <c r="B102" s="144"/>
    </row>
    <row r="103">
      <c r="B103" s="157"/>
      <c r="C103" s="150"/>
      <c r="D103" s="150"/>
      <c r="E103" s="150"/>
      <c r="F103" s="150"/>
      <c r="G103" s="150"/>
      <c r="H103" s="150"/>
      <c r="I103" s="144"/>
    </row>
    <row r="104">
      <c r="B104" s="137"/>
      <c r="E104" s="150"/>
      <c r="F104" s="150"/>
      <c r="G104" s="150"/>
      <c r="H104" s="150"/>
      <c r="I104" s="144"/>
    </row>
    <row r="105">
      <c r="B105" s="135"/>
      <c r="H105" s="125"/>
      <c r="I105" s="125"/>
    </row>
    <row r="106">
      <c r="B106" s="125"/>
      <c r="C106" s="125"/>
      <c r="D106" s="125"/>
      <c r="E106" s="125"/>
      <c r="F106" s="125"/>
      <c r="G106" s="125"/>
      <c r="H106" s="125"/>
    </row>
    <row r="107">
      <c r="B107" s="139"/>
      <c r="C107" s="147"/>
      <c r="D107" s="148"/>
      <c r="E107" s="150"/>
      <c r="F107" s="150"/>
      <c r="G107" s="150"/>
      <c r="H107" s="150"/>
      <c r="I107" s="144"/>
    </row>
    <row r="108">
      <c r="B108" s="150"/>
      <c r="C108" s="150"/>
      <c r="D108" s="150"/>
      <c r="E108" s="150"/>
      <c r="F108" s="150"/>
      <c r="G108" s="150"/>
      <c r="H108" s="150"/>
      <c r="I108" s="144"/>
    </row>
    <row r="109">
      <c r="B109" s="125"/>
      <c r="C109" s="125"/>
      <c r="D109" s="125"/>
      <c r="E109" s="125"/>
      <c r="F109" s="125"/>
      <c r="G109" s="125"/>
      <c r="H109" s="125"/>
    </row>
    <row r="110">
      <c r="B110" s="150"/>
      <c r="C110" s="150"/>
      <c r="D110" s="150"/>
      <c r="E110" s="125"/>
      <c r="F110" s="125"/>
      <c r="G110" s="125"/>
      <c r="H110" s="125"/>
    </row>
    <row r="111">
      <c r="B111" s="150"/>
      <c r="C111" s="150"/>
      <c r="D111" s="150"/>
      <c r="E111" s="150"/>
      <c r="F111" s="150"/>
      <c r="G111" s="150"/>
      <c r="H111" s="150"/>
      <c r="I111" s="144"/>
    </row>
    <row r="112">
      <c r="B112" s="144"/>
      <c r="E112" s="125"/>
      <c r="F112" s="125"/>
      <c r="G112" s="125"/>
      <c r="H112" s="125"/>
    </row>
    <row r="113">
      <c r="B113" s="130"/>
      <c r="C113" s="150"/>
      <c r="D113" s="150"/>
      <c r="E113" s="125"/>
      <c r="F113" s="125"/>
      <c r="G113" s="125"/>
      <c r="H113" s="125"/>
    </row>
  </sheetData>
  <mergeCells count="65">
    <mergeCell ref="B87:D87"/>
    <mergeCell ref="B88:I88"/>
    <mergeCell ref="B89:D89"/>
    <mergeCell ref="B92:D92"/>
    <mergeCell ref="D94:G94"/>
    <mergeCell ref="D95:I95"/>
    <mergeCell ref="B96:I96"/>
    <mergeCell ref="B104:D104"/>
    <mergeCell ref="B112:D112"/>
    <mergeCell ref="B94:C94"/>
    <mergeCell ref="B98:D98"/>
    <mergeCell ref="B99:D99"/>
    <mergeCell ref="B100:H100"/>
    <mergeCell ref="B101:I101"/>
    <mergeCell ref="B102:I102"/>
    <mergeCell ref="B105:G105"/>
    <mergeCell ref="B1:I1"/>
    <mergeCell ref="C13:F13"/>
    <mergeCell ref="B19:I19"/>
    <mergeCell ref="B21:I21"/>
    <mergeCell ref="B22:I22"/>
    <mergeCell ref="B31:D31"/>
    <mergeCell ref="B32:G32"/>
    <mergeCell ref="B34:D34"/>
    <mergeCell ref="B35:G35"/>
    <mergeCell ref="B36:E36"/>
    <mergeCell ref="B37:I37"/>
    <mergeCell ref="B38:G38"/>
    <mergeCell ref="B39:D39"/>
    <mergeCell ref="B41:D41"/>
    <mergeCell ref="B42:I42"/>
    <mergeCell ref="B43:I43"/>
    <mergeCell ref="B44:I44"/>
    <mergeCell ref="B45:I45"/>
    <mergeCell ref="B47:D47"/>
    <mergeCell ref="B48:D48"/>
    <mergeCell ref="B49:C49"/>
    <mergeCell ref="B50:C50"/>
    <mergeCell ref="B52:D52"/>
    <mergeCell ref="B53:I53"/>
    <mergeCell ref="B54:I54"/>
    <mergeCell ref="B56:D56"/>
    <mergeCell ref="B57:I57"/>
    <mergeCell ref="B58:G58"/>
    <mergeCell ref="B60:D60"/>
    <mergeCell ref="B61:E61"/>
    <mergeCell ref="B62:I62"/>
    <mergeCell ref="B63:D63"/>
    <mergeCell ref="B65:D65"/>
    <mergeCell ref="B66:I66"/>
    <mergeCell ref="B67:D67"/>
    <mergeCell ref="B69:D69"/>
    <mergeCell ref="B70:G70"/>
    <mergeCell ref="B71:G71"/>
    <mergeCell ref="B73:D73"/>
    <mergeCell ref="B74:I74"/>
    <mergeCell ref="B75:D75"/>
    <mergeCell ref="B76:G76"/>
    <mergeCell ref="B77:D77"/>
    <mergeCell ref="B79:D79"/>
    <mergeCell ref="B80:I80"/>
    <mergeCell ref="B81:C81"/>
    <mergeCell ref="B83:D83"/>
    <mergeCell ref="B84:D84"/>
    <mergeCell ref="B85:I8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B1" s="176" t="s">
        <v>611</v>
      </c>
    </row>
    <row r="2">
      <c r="B2" s="177"/>
      <c r="C2" s="177"/>
      <c r="D2" s="177"/>
      <c r="E2" s="177"/>
      <c r="F2" s="177"/>
      <c r="G2" s="177"/>
      <c r="H2" s="177"/>
      <c r="I2" s="177"/>
    </row>
    <row r="3">
      <c r="B3" s="178"/>
      <c r="C3" s="178"/>
      <c r="D3" s="178"/>
      <c r="E3" s="177"/>
      <c r="F3" s="177"/>
      <c r="G3" s="177"/>
      <c r="H3" s="177"/>
      <c r="I3" s="177"/>
    </row>
    <row r="4">
      <c r="B4" s="150"/>
      <c r="C4" s="150"/>
      <c r="D4" s="150"/>
      <c r="E4" s="150"/>
      <c r="F4" s="150"/>
      <c r="G4" s="150"/>
      <c r="H4" s="150"/>
      <c r="I4" s="150"/>
    </row>
    <row r="5">
      <c r="B5" s="184" t="str">
        <f>"Geachte "&amp;FillIn!M3&amp;" "&amp;FillIn!N3&amp;","</f>
        <v>Geachte heer G. Aslan,</v>
      </c>
      <c r="E5" s="150"/>
      <c r="F5" s="150"/>
      <c r="G5" s="150"/>
      <c r="H5" s="150"/>
      <c r="I5" s="150"/>
    </row>
    <row r="6">
      <c r="B6" s="150"/>
      <c r="C6" s="150"/>
      <c r="D6" s="150"/>
      <c r="E6" s="125"/>
      <c r="F6" s="150"/>
      <c r="G6" s="150"/>
      <c r="H6" s="150"/>
      <c r="I6" s="125"/>
    </row>
    <row r="7">
      <c r="B7" s="185" t="str">
        <f>"Wij willen u graag laten weten dat uw aanvraag voor onbetaald verlof is goedgekeurd. U heeft recht op "&amp;FillIn!H34&amp;" "&amp;FillIn!H35&amp;" "&amp;" onbetaald verlof, beginnend op "&amp;TEXT(FillIn!H36,"dd mmmm yyyy")&amp;" en derhalve eindigend op "&amp;TEXT(FillIn!H37,"dd mmmm yyyy")&amp;"."</f>
        <v>Wij willen u graag laten weten dat uw aanvraag voor onbetaald verlof is goedgekeurd. U heeft recht op 129 dagen  onbetaald verlof, beginnend op 18 november 2025 en derhalve eindigend op 17 mei 2026.</v>
      </c>
    </row>
    <row r="8">
      <c r="B8" s="150"/>
      <c r="C8" s="150"/>
      <c r="D8" s="150"/>
      <c r="E8" s="125"/>
      <c r="F8" s="150"/>
      <c r="G8" s="150"/>
      <c r="H8" s="150"/>
      <c r="I8" s="125"/>
    </row>
    <row r="9">
      <c r="B9" s="185" t="s">
        <v>612</v>
      </c>
    </row>
    <row r="10">
      <c r="B10" s="150"/>
      <c r="C10" s="150"/>
      <c r="D10" s="125"/>
      <c r="E10" s="125"/>
      <c r="F10" s="125"/>
      <c r="G10" s="125"/>
      <c r="H10" s="125"/>
      <c r="I10" s="125"/>
    </row>
    <row r="11">
      <c r="B11" s="185" t="s">
        <v>613</v>
      </c>
    </row>
    <row r="12">
      <c r="B12" s="189"/>
      <c r="I12" s="150"/>
    </row>
    <row r="13">
      <c r="B13" s="185" t="s">
        <v>614</v>
      </c>
    </row>
    <row r="14">
      <c r="B14" s="150"/>
      <c r="C14" s="150"/>
      <c r="D14" s="150"/>
      <c r="E14" s="150"/>
      <c r="F14" s="150"/>
      <c r="G14" s="150"/>
      <c r="H14" s="150"/>
      <c r="I14" s="150"/>
    </row>
    <row r="15">
      <c r="B15" s="184" t="s">
        <v>608</v>
      </c>
      <c r="C15" s="184"/>
      <c r="D15" s="150"/>
      <c r="E15" s="125"/>
      <c r="F15" s="125"/>
      <c r="G15" s="125"/>
      <c r="H15" s="125"/>
      <c r="I15" s="125"/>
    </row>
    <row r="16">
      <c r="B16" s="150"/>
      <c r="C16" s="150"/>
      <c r="D16" s="150"/>
      <c r="E16" s="150"/>
      <c r="F16" s="150"/>
      <c r="G16" s="150"/>
      <c r="H16" s="150"/>
      <c r="I16" s="150"/>
    </row>
    <row r="17">
      <c r="B17" s="150"/>
      <c r="C17" s="150"/>
      <c r="D17" s="150"/>
      <c r="E17" s="150"/>
      <c r="F17" s="150"/>
      <c r="G17" s="150"/>
      <c r="H17" s="125"/>
      <c r="I17" s="125"/>
    </row>
    <row r="18">
      <c r="B18" s="150"/>
      <c r="C18" s="150"/>
      <c r="D18" s="150"/>
      <c r="E18" s="150"/>
      <c r="F18" s="150"/>
      <c r="G18" s="150"/>
      <c r="H18" s="150"/>
      <c r="I18" s="150"/>
    </row>
    <row r="19">
      <c r="B19" s="150"/>
      <c r="C19" s="150"/>
      <c r="D19" s="150"/>
      <c r="E19" s="150"/>
      <c r="F19" s="150"/>
      <c r="G19" s="150"/>
      <c r="H19" s="150"/>
      <c r="I19" s="150"/>
    </row>
    <row r="20">
      <c r="B20" s="150"/>
      <c r="C20" s="150"/>
      <c r="D20" s="150"/>
      <c r="E20" s="150"/>
      <c r="F20" s="150"/>
      <c r="G20" s="150"/>
      <c r="H20" s="150"/>
      <c r="I20" s="150"/>
    </row>
    <row r="21">
      <c r="B21" s="187" t="str">
        <f>FillIn!M5</f>
        <v>de heer D.O. Ibryam</v>
      </c>
      <c r="C21" s="187"/>
      <c r="D21" s="188"/>
      <c r="E21" s="125"/>
      <c r="F21" s="125"/>
      <c r="G21" s="125"/>
      <c r="H21" s="125"/>
      <c r="I21" s="125"/>
    </row>
    <row r="22">
      <c r="B22" s="153"/>
      <c r="C22" s="150"/>
      <c r="D22" s="150"/>
      <c r="E22" s="125"/>
      <c r="F22" s="125"/>
      <c r="G22" s="125"/>
      <c r="H22" s="125"/>
    </row>
    <row r="23">
      <c r="B23" s="137"/>
      <c r="E23" s="150"/>
      <c r="F23" s="150"/>
      <c r="G23" s="150"/>
      <c r="H23" s="150"/>
      <c r="I23" s="138"/>
    </row>
    <row r="24">
      <c r="B24" s="126"/>
    </row>
    <row r="25">
      <c r="B25" s="126"/>
      <c r="H25" s="125"/>
      <c r="I25" s="125"/>
    </row>
    <row r="26">
      <c r="B26" s="153"/>
      <c r="C26" s="150"/>
      <c r="D26" s="150"/>
      <c r="E26" s="125"/>
      <c r="F26" s="125"/>
      <c r="G26" s="125"/>
      <c r="H26" s="125"/>
    </row>
    <row r="27">
      <c r="B27" s="137"/>
      <c r="E27" s="150"/>
      <c r="F27" s="150"/>
      <c r="G27" s="150"/>
      <c r="H27" s="150"/>
      <c r="I27" s="142"/>
    </row>
    <row r="28">
      <c r="B28" s="126"/>
      <c r="H28" s="150"/>
      <c r="I28" s="125"/>
    </row>
    <row r="29">
      <c r="B29" s="152"/>
      <c r="E29" s="150"/>
      <c r="F29" s="150"/>
      <c r="G29" s="150"/>
      <c r="H29" s="150"/>
      <c r="I29" s="142"/>
    </row>
    <row r="30">
      <c r="B30" s="152"/>
      <c r="E30" s="150"/>
      <c r="F30" s="150"/>
      <c r="G30" s="150"/>
      <c r="H30" s="150"/>
      <c r="I30" s="126"/>
    </row>
    <row r="31">
      <c r="B31" s="152"/>
      <c r="E31" s="150"/>
      <c r="F31" s="150"/>
      <c r="G31" s="150"/>
      <c r="H31" s="150"/>
      <c r="I31" s="142"/>
    </row>
    <row r="32">
      <c r="B32" s="126"/>
      <c r="H32" s="150"/>
      <c r="I32" s="150"/>
    </row>
    <row r="33">
      <c r="B33" s="153"/>
      <c r="C33" s="150"/>
      <c r="D33" s="150"/>
      <c r="E33" s="150"/>
      <c r="F33" s="150"/>
      <c r="G33" s="150"/>
      <c r="H33" s="150"/>
      <c r="I33" s="142"/>
    </row>
    <row r="34">
      <c r="B34" s="137"/>
      <c r="E34" s="150"/>
      <c r="F34" s="150"/>
      <c r="G34" s="150"/>
      <c r="H34" s="150"/>
      <c r="I34" s="142"/>
    </row>
    <row r="35">
      <c r="B35" s="126"/>
      <c r="H35" s="125"/>
      <c r="I35" s="125"/>
    </row>
    <row r="36">
      <c r="B36" s="126"/>
      <c r="F36" s="125"/>
      <c r="G36" s="125"/>
      <c r="H36" s="125"/>
    </row>
    <row r="37">
      <c r="B37" s="126"/>
    </row>
    <row r="38">
      <c r="B38" s="126"/>
      <c r="H38" s="125"/>
      <c r="I38" s="125"/>
    </row>
    <row r="39">
      <c r="B39" s="126"/>
      <c r="E39" s="125"/>
      <c r="F39" s="125"/>
      <c r="G39" s="125"/>
      <c r="H39" s="125"/>
    </row>
    <row r="40">
      <c r="B40" s="153"/>
      <c r="C40" s="150"/>
      <c r="D40" s="150"/>
      <c r="E40" s="150"/>
      <c r="F40" s="150"/>
      <c r="G40" s="150"/>
      <c r="H40" s="150"/>
      <c r="I40" s="142"/>
    </row>
    <row r="41">
      <c r="B41" s="137"/>
      <c r="E41" s="150"/>
      <c r="F41" s="150"/>
      <c r="G41" s="150"/>
      <c r="H41" s="150"/>
      <c r="I41" s="126"/>
    </row>
    <row r="42">
      <c r="B42" s="126"/>
    </row>
    <row r="43">
      <c r="B43" s="126"/>
    </row>
    <row r="44">
      <c r="B44" s="126"/>
    </row>
    <row r="45">
      <c r="B45" s="126"/>
    </row>
    <row r="46">
      <c r="B46" s="153"/>
      <c r="C46" s="150"/>
      <c r="D46" s="150"/>
      <c r="E46" s="150"/>
      <c r="F46" s="150"/>
      <c r="G46" s="150"/>
      <c r="H46" s="150"/>
      <c r="I46" s="126"/>
    </row>
    <row r="47">
      <c r="B47" s="155"/>
      <c r="E47" s="150"/>
      <c r="F47" s="125"/>
      <c r="G47" s="125"/>
      <c r="H47" s="125"/>
    </row>
    <row r="48">
      <c r="B48" s="156"/>
      <c r="E48" s="125"/>
      <c r="F48" s="125"/>
      <c r="G48" s="125"/>
      <c r="H48" s="125"/>
    </row>
    <row r="49">
      <c r="B49" s="152"/>
      <c r="D49" s="125"/>
      <c r="E49" s="125"/>
      <c r="F49" s="125"/>
      <c r="G49" s="125"/>
      <c r="H49" s="125"/>
    </row>
    <row r="50">
      <c r="B50" s="152"/>
      <c r="D50" s="150"/>
      <c r="E50" s="150"/>
      <c r="F50" s="150"/>
      <c r="G50" s="150"/>
      <c r="H50" s="150"/>
      <c r="I50" s="126"/>
    </row>
    <row r="51">
      <c r="B51" s="152"/>
      <c r="C51" s="150"/>
      <c r="D51" s="150"/>
      <c r="E51" s="150"/>
      <c r="F51" s="150"/>
      <c r="G51" s="150"/>
      <c r="H51" s="150"/>
      <c r="I51" s="126"/>
    </row>
    <row r="52">
      <c r="B52" s="126"/>
      <c r="E52" s="125"/>
      <c r="F52" s="125"/>
      <c r="G52" s="125"/>
      <c r="H52" s="125"/>
    </row>
    <row r="53">
      <c r="B53" s="144"/>
    </row>
    <row r="54">
      <c r="B54" s="144"/>
    </row>
    <row r="55">
      <c r="B55" s="157"/>
      <c r="C55" s="150"/>
      <c r="D55" s="150"/>
      <c r="E55" s="125"/>
      <c r="F55" s="125"/>
      <c r="G55" s="125"/>
      <c r="H55" s="125"/>
    </row>
    <row r="56">
      <c r="B56" s="137"/>
      <c r="E56" s="125"/>
      <c r="F56" s="125"/>
      <c r="G56" s="125"/>
      <c r="H56" s="125"/>
    </row>
    <row r="57">
      <c r="B57" s="144"/>
    </row>
    <row r="58">
      <c r="B58" s="144"/>
      <c r="H58" s="150"/>
      <c r="I58" s="150"/>
    </row>
    <row r="59">
      <c r="B59" s="145"/>
      <c r="C59" s="125"/>
      <c r="D59" s="125"/>
      <c r="E59" s="125"/>
      <c r="F59" s="125"/>
      <c r="G59" s="125"/>
      <c r="H59" s="125"/>
    </row>
    <row r="60">
      <c r="B60" s="137"/>
      <c r="E60" s="125"/>
      <c r="F60" s="125"/>
      <c r="G60" s="125"/>
      <c r="H60" s="125"/>
    </row>
    <row r="61">
      <c r="B61" s="144"/>
      <c r="F61" s="150"/>
      <c r="G61" s="150"/>
      <c r="H61" s="150"/>
      <c r="I61" s="126"/>
    </row>
    <row r="62">
      <c r="B62" s="144"/>
    </row>
    <row r="63">
      <c r="B63" s="144"/>
      <c r="E63" s="150"/>
      <c r="F63" s="150"/>
      <c r="G63" s="150"/>
      <c r="H63" s="150"/>
      <c r="I63" s="126"/>
    </row>
    <row r="64">
      <c r="B64" s="145"/>
      <c r="C64" s="125"/>
      <c r="D64" s="125"/>
      <c r="E64" s="125"/>
      <c r="F64" s="125"/>
      <c r="G64" s="125"/>
      <c r="H64" s="125"/>
    </row>
    <row r="65">
      <c r="B65" s="137"/>
      <c r="E65" s="150"/>
      <c r="F65" s="150"/>
      <c r="G65" s="150"/>
      <c r="H65" s="150"/>
      <c r="I65" s="126"/>
    </row>
    <row r="66">
      <c r="B66" s="144"/>
    </row>
    <row r="67">
      <c r="B67" s="144"/>
      <c r="E67" s="125"/>
      <c r="F67" s="125"/>
      <c r="G67" s="125"/>
      <c r="H67" s="125"/>
    </row>
    <row r="68">
      <c r="B68" s="157"/>
      <c r="C68" s="150"/>
      <c r="D68" s="150"/>
      <c r="E68" s="150"/>
      <c r="F68" s="150"/>
      <c r="G68" s="150"/>
      <c r="H68" s="150"/>
      <c r="I68" s="126"/>
    </row>
    <row r="69">
      <c r="B69" s="137"/>
      <c r="E69" s="150"/>
      <c r="F69" s="150"/>
      <c r="G69" s="150"/>
      <c r="H69" s="150"/>
      <c r="I69" s="126"/>
    </row>
    <row r="70">
      <c r="B70" s="144"/>
      <c r="H70" s="125"/>
      <c r="I70" s="125"/>
    </row>
    <row r="71">
      <c r="B71" s="144"/>
      <c r="H71" s="150"/>
      <c r="I71" s="150"/>
    </row>
    <row r="72">
      <c r="B72" s="157"/>
      <c r="C72" s="150"/>
      <c r="D72" s="150"/>
      <c r="E72" s="150"/>
      <c r="F72" s="150"/>
      <c r="G72" s="150"/>
      <c r="H72" s="125"/>
      <c r="I72" s="125"/>
    </row>
    <row r="73">
      <c r="B73" s="137"/>
      <c r="E73" s="125"/>
      <c r="F73" s="125"/>
      <c r="G73" s="125"/>
      <c r="H73" s="125"/>
    </row>
    <row r="74">
      <c r="B74" s="144"/>
    </row>
    <row r="75">
      <c r="B75" s="152"/>
      <c r="E75" s="150"/>
      <c r="F75" s="150"/>
      <c r="G75" s="150"/>
      <c r="H75" s="150"/>
      <c r="I75" s="144"/>
    </row>
    <row r="76">
      <c r="B76" s="152"/>
      <c r="H76" s="125"/>
      <c r="I76" s="125"/>
    </row>
    <row r="77">
      <c r="B77" s="152"/>
      <c r="E77" s="125"/>
      <c r="F77" s="125"/>
      <c r="G77" s="125"/>
      <c r="H77" s="125"/>
    </row>
    <row r="78">
      <c r="B78" s="157"/>
      <c r="C78" s="150"/>
      <c r="D78" s="150"/>
      <c r="E78" s="125"/>
      <c r="F78" s="125"/>
      <c r="G78" s="125"/>
      <c r="H78" s="125"/>
    </row>
    <row r="79">
      <c r="B79" s="137"/>
      <c r="E79" s="150"/>
      <c r="F79" s="150"/>
      <c r="G79" s="150"/>
      <c r="H79" s="150"/>
      <c r="I79" s="144"/>
    </row>
    <row r="80">
      <c r="B80" s="144"/>
    </row>
    <row r="81">
      <c r="B81" s="152"/>
      <c r="D81" s="150"/>
      <c r="E81" s="125"/>
      <c r="F81" s="125"/>
      <c r="G81" s="125"/>
      <c r="H81" s="125"/>
    </row>
    <row r="82">
      <c r="B82" s="152"/>
      <c r="C82" s="125"/>
      <c r="D82" s="125"/>
      <c r="E82" s="125"/>
      <c r="F82" s="125"/>
      <c r="G82" s="125"/>
      <c r="H82" s="125"/>
    </row>
    <row r="83">
      <c r="B83" s="152"/>
      <c r="E83" s="150"/>
      <c r="F83" s="150"/>
      <c r="G83" s="150"/>
      <c r="H83" s="150"/>
      <c r="I83" s="144"/>
    </row>
    <row r="84">
      <c r="B84" s="152"/>
      <c r="E84" s="125"/>
      <c r="F84" s="125"/>
      <c r="G84" s="125"/>
      <c r="H84" s="125"/>
    </row>
    <row r="85">
      <c r="B85" s="158"/>
    </row>
    <row r="86">
      <c r="B86" s="157"/>
      <c r="C86" s="150"/>
      <c r="D86" s="150"/>
      <c r="E86" s="125"/>
      <c r="F86" s="125"/>
      <c r="G86" s="125"/>
      <c r="H86" s="125"/>
    </row>
    <row r="87">
      <c r="B87" s="137"/>
      <c r="E87" s="125"/>
      <c r="F87" s="125"/>
      <c r="G87" s="125"/>
      <c r="H87" s="125"/>
    </row>
    <row r="88">
      <c r="B88" s="144"/>
    </row>
    <row r="89">
      <c r="B89" s="144"/>
      <c r="E89" s="150"/>
      <c r="F89" s="150"/>
      <c r="G89" s="150"/>
      <c r="H89" s="150"/>
      <c r="I89" s="144"/>
    </row>
    <row r="90">
      <c r="B90" s="145"/>
      <c r="C90" s="125"/>
      <c r="D90" s="125"/>
      <c r="E90" s="125"/>
      <c r="F90" s="125"/>
      <c r="G90" s="125"/>
      <c r="H90" s="125"/>
    </row>
    <row r="91">
      <c r="B91" s="137"/>
      <c r="C91" s="150"/>
      <c r="D91" s="150"/>
      <c r="E91" s="150"/>
      <c r="F91" s="150"/>
      <c r="G91" s="150"/>
      <c r="H91" s="150"/>
      <c r="I91" s="144"/>
    </row>
    <row r="92">
      <c r="B92" s="144"/>
      <c r="E92" s="150"/>
      <c r="F92" s="150"/>
      <c r="G92" s="150"/>
      <c r="H92" s="150"/>
      <c r="I92" s="144"/>
    </row>
    <row r="93">
      <c r="B93" s="152"/>
      <c r="C93" s="150"/>
      <c r="D93" s="169"/>
      <c r="E93" s="150"/>
      <c r="F93" s="150"/>
      <c r="G93" s="150"/>
      <c r="H93" s="150"/>
      <c r="I93" s="144"/>
    </row>
    <row r="94">
      <c r="B94" s="152"/>
      <c r="D94" s="169"/>
      <c r="H94" s="125"/>
      <c r="I94" s="125"/>
    </row>
    <row r="95">
      <c r="B95" s="152"/>
      <c r="C95" s="150"/>
      <c r="D95" s="169"/>
    </row>
    <row r="96">
      <c r="B96" s="158"/>
    </row>
    <row r="97">
      <c r="B97" s="145"/>
      <c r="C97" s="125"/>
      <c r="D97" s="125"/>
      <c r="E97" s="125"/>
      <c r="F97" s="125"/>
      <c r="G97" s="125"/>
      <c r="H97" s="125"/>
    </row>
    <row r="98">
      <c r="B98" s="137"/>
      <c r="E98" s="125"/>
      <c r="F98" s="125"/>
      <c r="G98" s="125"/>
      <c r="H98" s="125"/>
    </row>
    <row r="99">
      <c r="B99" s="144"/>
      <c r="E99" s="150"/>
      <c r="F99" s="150"/>
      <c r="G99" s="150"/>
      <c r="H99" s="150"/>
      <c r="I99" s="144"/>
    </row>
    <row r="100">
      <c r="B100" s="144"/>
      <c r="I100" s="150"/>
    </row>
    <row r="101">
      <c r="B101" s="144"/>
    </row>
    <row r="102">
      <c r="B102" s="144"/>
    </row>
    <row r="103">
      <c r="B103" s="157"/>
      <c r="C103" s="150"/>
      <c r="D103" s="150"/>
      <c r="E103" s="150"/>
      <c r="F103" s="150"/>
      <c r="G103" s="150"/>
      <c r="H103" s="150"/>
      <c r="I103" s="144"/>
    </row>
    <row r="104">
      <c r="B104" s="137"/>
      <c r="E104" s="150"/>
      <c r="F104" s="150"/>
      <c r="G104" s="150"/>
      <c r="H104" s="150"/>
      <c r="I104" s="144"/>
    </row>
    <row r="105">
      <c r="B105" s="135"/>
      <c r="H105" s="125"/>
      <c r="I105" s="125"/>
    </row>
    <row r="106">
      <c r="B106" s="125"/>
      <c r="C106" s="125"/>
      <c r="D106" s="125"/>
      <c r="E106" s="125"/>
      <c r="F106" s="125"/>
      <c r="G106" s="125"/>
      <c r="H106" s="125"/>
    </row>
    <row r="107">
      <c r="B107" s="139"/>
      <c r="C107" s="147"/>
      <c r="D107" s="148"/>
      <c r="E107" s="150"/>
      <c r="F107" s="150"/>
      <c r="G107" s="150"/>
      <c r="H107" s="150"/>
      <c r="I107" s="144"/>
    </row>
    <row r="108">
      <c r="B108" s="150"/>
      <c r="C108" s="150"/>
      <c r="D108" s="150"/>
      <c r="E108" s="150"/>
      <c r="F108" s="150"/>
      <c r="G108" s="150"/>
      <c r="H108" s="150"/>
      <c r="I108" s="144"/>
    </row>
    <row r="109">
      <c r="B109" s="125"/>
      <c r="C109" s="125"/>
      <c r="D109" s="125"/>
      <c r="E109" s="125"/>
      <c r="F109" s="125"/>
      <c r="G109" s="125"/>
      <c r="H109" s="125"/>
    </row>
    <row r="110">
      <c r="B110" s="150"/>
      <c r="C110" s="150"/>
      <c r="D110" s="150"/>
      <c r="E110" s="125"/>
      <c r="F110" s="125"/>
      <c r="G110" s="125"/>
      <c r="H110" s="125"/>
    </row>
    <row r="111">
      <c r="B111" s="150"/>
      <c r="C111" s="150"/>
      <c r="D111" s="150"/>
      <c r="E111" s="150"/>
      <c r="F111" s="150"/>
      <c r="G111" s="150"/>
      <c r="H111" s="150"/>
      <c r="I111" s="144"/>
    </row>
    <row r="112">
      <c r="B112" s="144"/>
      <c r="E112" s="125"/>
      <c r="F112" s="125"/>
      <c r="G112" s="125"/>
      <c r="H112" s="125"/>
    </row>
    <row r="113">
      <c r="B113" s="130"/>
      <c r="C113" s="150"/>
      <c r="D113" s="150"/>
      <c r="E113" s="125"/>
      <c r="F113" s="125"/>
      <c r="G113" s="125"/>
      <c r="H113" s="125"/>
    </row>
  </sheetData>
  <mergeCells count="74">
    <mergeCell ref="B75:D75"/>
    <mergeCell ref="B76:G76"/>
    <mergeCell ref="B77:D77"/>
    <mergeCell ref="B79:D79"/>
    <mergeCell ref="B80:I80"/>
    <mergeCell ref="B81:C81"/>
    <mergeCell ref="B83:D83"/>
    <mergeCell ref="B84:D84"/>
    <mergeCell ref="B85:I85"/>
    <mergeCell ref="B87:D87"/>
    <mergeCell ref="B88:I88"/>
    <mergeCell ref="B89:D89"/>
    <mergeCell ref="B92:D92"/>
    <mergeCell ref="B94:C94"/>
    <mergeCell ref="B99:D99"/>
    <mergeCell ref="B104:D104"/>
    <mergeCell ref="B112:D112"/>
    <mergeCell ref="D94:G94"/>
    <mergeCell ref="D95:I95"/>
    <mergeCell ref="B96:I96"/>
    <mergeCell ref="B98:D98"/>
    <mergeCell ref="B100:H100"/>
    <mergeCell ref="B101:I101"/>
    <mergeCell ref="B102:I102"/>
    <mergeCell ref="B105:G105"/>
    <mergeCell ref="B1:I1"/>
    <mergeCell ref="B5:D5"/>
    <mergeCell ref="B7:I7"/>
    <mergeCell ref="B9:I9"/>
    <mergeCell ref="B11:I11"/>
    <mergeCell ref="B12:H12"/>
    <mergeCell ref="B13:I13"/>
    <mergeCell ref="B23:D23"/>
    <mergeCell ref="B24:I24"/>
    <mergeCell ref="B25:G25"/>
    <mergeCell ref="B27:D27"/>
    <mergeCell ref="B28:G28"/>
    <mergeCell ref="B29:D29"/>
    <mergeCell ref="B30:D30"/>
    <mergeCell ref="B31:D31"/>
    <mergeCell ref="B32:G32"/>
    <mergeCell ref="B34:D34"/>
    <mergeCell ref="B35:G35"/>
    <mergeCell ref="B36:E36"/>
    <mergeCell ref="B37:I37"/>
    <mergeCell ref="B38:G38"/>
    <mergeCell ref="B39:D39"/>
    <mergeCell ref="B41:D41"/>
    <mergeCell ref="B42:I42"/>
    <mergeCell ref="B43:I43"/>
    <mergeCell ref="B44:I44"/>
    <mergeCell ref="B45:I45"/>
    <mergeCell ref="B47:D47"/>
    <mergeCell ref="B48:D48"/>
    <mergeCell ref="B49:C49"/>
    <mergeCell ref="B50:C50"/>
    <mergeCell ref="B52:D52"/>
    <mergeCell ref="B53:I53"/>
    <mergeCell ref="B54:I54"/>
    <mergeCell ref="B56:D56"/>
    <mergeCell ref="B57:I57"/>
    <mergeCell ref="B58:G58"/>
    <mergeCell ref="B60:D60"/>
    <mergeCell ref="B61:E61"/>
    <mergeCell ref="B62:I62"/>
    <mergeCell ref="B63:D63"/>
    <mergeCell ref="B66:I66"/>
    <mergeCell ref="B65:D65"/>
    <mergeCell ref="B67:D67"/>
    <mergeCell ref="B69:D69"/>
    <mergeCell ref="B70:G70"/>
    <mergeCell ref="B71:G71"/>
    <mergeCell ref="B73:D73"/>
    <mergeCell ref="B74:I7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A1" s="190"/>
      <c r="B1" s="191" t="s">
        <v>615</v>
      </c>
      <c r="J1" s="190"/>
      <c r="K1" s="190"/>
      <c r="L1" s="190"/>
      <c r="M1" s="190"/>
      <c r="N1" s="190"/>
      <c r="O1" s="190"/>
      <c r="P1" s="190"/>
      <c r="Q1" s="190"/>
      <c r="R1" s="190"/>
      <c r="S1" s="190"/>
      <c r="T1" s="190"/>
      <c r="U1" s="190"/>
      <c r="V1" s="190"/>
      <c r="W1" s="190"/>
      <c r="X1" s="190"/>
      <c r="Y1" s="190"/>
      <c r="Z1" s="190"/>
    </row>
    <row r="2">
      <c r="A2" s="190"/>
      <c r="B2" s="192"/>
      <c r="C2" s="193"/>
      <c r="D2" s="193"/>
      <c r="E2" s="194"/>
      <c r="F2" s="194"/>
      <c r="G2" s="194"/>
      <c r="H2" s="194"/>
      <c r="I2" s="194"/>
      <c r="J2" s="190"/>
      <c r="K2" s="190"/>
      <c r="L2" s="190"/>
      <c r="M2" s="190"/>
      <c r="N2" s="190"/>
      <c r="O2" s="190"/>
      <c r="P2" s="190"/>
      <c r="Q2" s="190"/>
      <c r="R2" s="190"/>
      <c r="S2" s="190"/>
      <c r="T2" s="190"/>
      <c r="U2" s="190"/>
      <c r="V2" s="190"/>
      <c r="W2" s="190"/>
      <c r="X2" s="190"/>
      <c r="Y2" s="190"/>
      <c r="Z2" s="190"/>
    </row>
    <row r="3">
      <c r="A3" s="190"/>
      <c r="B3" s="195" t="s">
        <v>616</v>
      </c>
      <c r="C3" s="196"/>
      <c r="D3" s="196"/>
      <c r="E3" s="194"/>
      <c r="F3" s="194"/>
      <c r="G3" s="194"/>
      <c r="H3" s="194"/>
      <c r="I3" s="194"/>
      <c r="J3" s="190"/>
      <c r="K3" s="190"/>
      <c r="L3" s="190"/>
      <c r="M3" s="190"/>
      <c r="N3" s="190"/>
      <c r="O3" s="190"/>
      <c r="P3" s="190"/>
      <c r="Q3" s="190"/>
      <c r="R3" s="190"/>
      <c r="S3" s="190"/>
      <c r="T3" s="190"/>
      <c r="U3" s="190"/>
      <c r="V3" s="190"/>
      <c r="W3" s="190"/>
      <c r="X3" s="190"/>
      <c r="Y3" s="190"/>
      <c r="Z3" s="190"/>
    </row>
    <row r="4">
      <c r="A4" s="190"/>
      <c r="B4" s="195" t="s">
        <v>617</v>
      </c>
      <c r="C4" s="190"/>
      <c r="D4" s="196"/>
      <c r="E4" s="197" t="str">
        <f>FillIn!H4</f>
        <v>DeNeX Uitzendbureau B.V.</v>
      </c>
      <c r="F4" s="196"/>
      <c r="G4" s="196"/>
      <c r="H4" s="196"/>
      <c r="I4" s="196"/>
      <c r="J4" s="190"/>
      <c r="K4" s="190"/>
      <c r="L4" s="190"/>
      <c r="M4" s="190"/>
      <c r="N4" s="190"/>
      <c r="O4" s="190"/>
      <c r="P4" s="190"/>
      <c r="Q4" s="190"/>
      <c r="R4" s="190"/>
      <c r="S4" s="190"/>
      <c r="T4" s="190"/>
      <c r="U4" s="190"/>
      <c r="V4" s="190"/>
      <c r="W4" s="190"/>
      <c r="X4" s="190"/>
      <c r="Y4" s="190"/>
      <c r="Z4" s="190"/>
    </row>
    <row r="5">
      <c r="A5" s="190"/>
      <c r="B5" s="130" t="s">
        <v>618</v>
      </c>
      <c r="C5" s="190"/>
      <c r="D5" s="196"/>
      <c r="E5" s="198" t="str">
        <f>FillIn!M5</f>
        <v>de heer D.O. Ibryam</v>
      </c>
      <c r="F5" s="196"/>
      <c r="G5" s="196"/>
      <c r="H5" s="196"/>
      <c r="I5" s="196"/>
      <c r="J5" s="190"/>
      <c r="K5" s="190"/>
      <c r="L5" s="190"/>
      <c r="M5" s="190"/>
      <c r="N5" s="190"/>
      <c r="O5" s="190"/>
      <c r="P5" s="190"/>
      <c r="Q5" s="190"/>
      <c r="R5" s="190"/>
      <c r="S5" s="190"/>
      <c r="T5" s="190"/>
      <c r="U5" s="190"/>
      <c r="V5" s="190"/>
      <c r="W5" s="190"/>
      <c r="X5" s="190"/>
      <c r="Y5" s="190"/>
      <c r="Z5" s="190"/>
    </row>
    <row r="6">
      <c r="A6" s="190"/>
      <c r="B6" s="130" t="s">
        <v>35</v>
      </c>
      <c r="C6" s="190"/>
      <c r="D6" s="196"/>
      <c r="E6" s="198" t="str">
        <f>FillIn!H6</f>
        <v>Gebroken Meeldijk 66, Unit 1.15</v>
      </c>
      <c r="F6" s="196"/>
      <c r="G6" s="196"/>
      <c r="H6" s="196"/>
      <c r="I6" s="193"/>
      <c r="J6" s="190"/>
      <c r="K6" s="190"/>
      <c r="L6" s="190"/>
      <c r="M6" s="190"/>
      <c r="N6" s="190"/>
      <c r="O6" s="190"/>
      <c r="P6" s="190"/>
      <c r="Q6" s="190"/>
      <c r="R6" s="190"/>
      <c r="S6" s="190"/>
      <c r="T6" s="190"/>
      <c r="U6" s="190"/>
      <c r="V6" s="190"/>
      <c r="W6" s="190"/>
      <c r="X6" s="190"/>
      <c r="Y6" s="190"/>
      <c r="Z6" s="190"/>
    </row>
    <row r="7">
      <c r="A7" s="190"/>
      <c r="B7" s="130" t="s">
        <v>619</v>
      </c>
      <c r="C7" s="190"/>
      <c r="D7" s="196"/>
      <c r="E7" s="198" t="str">
        <f>FillIn!H7&amp;" "&amp;FillIn!H8</f>
        <v>2991 VD Barendrecht</v>
      </c>
      <c r="F7" s="199"/>
      <c r="G7" s="199"/>
      <c r="H7" s="199"/>
      <c r="I7" s="199"/>
      <c r="J7" s="190"/>
      <c r="K7" s="190"/>
      <c r="L7" s="190"/>
      <c r="M7" s="190"/>
      <c r="N7" s="190"/>
      <c r="O7" s="190"/>
      <c r="P7" s="190"/>
      <c r="Q7" s="190"/>
      <c r="R7" s="190"/>
      <c r="S7" s="190"/>
      <c r="T7" s="190"/>
      <c r="U7" s="190"/>
      <c r="V7" s="190"/>
      <c r="W7" s="190"/>
      <c r="X7" s="190"/>
      <c r="Y7" s="190"/>
      <c r="Z7" s="190"/>
    </row>
    <row r="8">
      <c r="A8" s="190"/>
      <c r="B8" s="196"/>
      <c r="C8" s="196"/>
      <c r="D8" s="196"/>
      <c r="E8" s="190"/>
      <c r="F8" s="196"/>
      <c r="G8" s="196"/>
      <c r="H8" s="196"/>
      <c r="I8" s="193"/>
      <c r="J8" s="190"/>
      <c r="K8" s="190"/>
      <c r="L8" s="190"/>
      <c r="M8" s="190"/>
      <c r="N8" s="190"/>
      <c r="O8" s="190"/>
      <c r="P8" s="190"/>
      <c r="Q8" s="190"/>
      <c r="R8" s="190"/>
      <c r="S8" s="190"/>
      <c r="T8" s="190"/>
      <c r="U8" s="190"/>
      <c r="V8" s="190"/>
      <c r="W8" s="190"/>
      <c r="X8" s="190"/>
      <c r="Y8" s="190"/>
      <c r="Z8" s="190"/>
    </row>
    <row r="9">
      <c r="A9" s="190"/>
      <c r="B9" s="130" t="s">
        <v>620</v>
      </c>
      <c r="C9" s="196"/>
      <c r="D9" s="196"/>
      <c r="E9" s="198"/>
      <c r="F9" s="199"/>
      <c r="G9" s="199"/>
      <c r="H9" s="199"/>
      <c r="I9" s="199"/>
      <c r="J9" s="190"/>
      <c r="K9" s="190"/>
      <c r="L9" s="190"/>
      <c r="M9" s="190"/>
      <c r="N9" s="190"/>
      <c r="O9" s="190"/>
      <c r="P9" s="190"/>
      <c r="Q9" s="190"/>
      <c r="R9" s="190"/>
      <c r="S9" s="190"/>
      <c r="T9" s="190"/>
      <c r="U9" s="190"/>
      <c r="V9" s="190"/>
      <c r="W9" s="190"/>
      <c r="X9" s="190"/>
      <c r="Y9" s="190"/>
      <c r="Z9" s="190"/>
    </row>
    <row r="10">
      <c r="A10" s="190"/>
      <c r="B10" s="196"/>
      <c r="C10" s="196"/>
      <c r="D10" s="193"/>
      <c r="E10" s="190"/>
      <c r="F10" s="193"/>
      <c r="G10" s="193"/>
      <c r="H10" s="193"/>
      <c r="I10" s="193"/>
      <c r="J10" s="190"/>
      <c r="K10" s="190"/>
      <c r="L10" s="190"/>
      <c r="M10" s="190"/>
      <c r="N10" s="190"/>
      <c r="O10" s="190"/>
      <c r="P10" s="190"/>
      <c r="Q10" s="190"/>
      <c r="R10" s="190"/>
      <c r="S10" s="190"/>
      <c r="T10" s="190"/>
      <c r="U10" s="190"/>
      <c r="V10" s="190"/>
      <c r="W10" s="190"/>
      <c r="X10" s="190"/>
      <c r="Y10" s="190"/>
      <c r="Z10" s="190"/>
    </row>
    <row r="11">
      <c r="A11" s="190"/>
      <c r="B11" s="130" t="s">
        <v>621</v>
      </c>
      <c r="C11" s="196"/>
      <c r="D11" s="196"/>
      <c r="E11" s="198"/>
      <c r="F11" s="199"/>
      <c r="G11" s="199"/>
      <c r="H11" s="199"/>
      <c r="I11" s="199"/>
      <c r="J11" s="190"/>
      <c r="K11" s="190"/>
      <c r="L11" s="190"/>
      <c r="M11" s="190"/>
      <c r="N11" s="190"/>
      <c r="O11" s="190"/>
      <c r="P11" s="190"/>
      <c r="Q11" s="190"/>
      <c r="R11" s="190"/>
      <c r="S11" s="190"/>
      <c r="T11" s="190"/>
      <c r="U11" s="190"/>
      <c r="V11" s="190"/>
      <c r="W11" s="190"/>
      <c r="X11" s="190"/>
      <c r="Y11" s="190"/>
      <c r="Z11" s="190"/>
    </row>
    <row r="12">
      <c r="A12" s="190"/>
      <c r="B12" s="196"/>
      <c r="C12" s="196"/>
      <c r="D12" s="196"/>
      <c r="E12" s="198"/>
      <c r="F12" s="200"/>
      <c r="G12" s="200"/>
      <c r="H12" s="200"/>
      <c r="I12" s="196"/>
      <c r="J12" s="190"/>
      <c r="K12" s="190"/>
      <c r="L12" s="190"/>
      <c r="M12" s="190"/>
      <c r="N12" s="190"/>
      <c r="O12" s="190"/>
      <c r="P12" s="190"/>
      <c r="Q12" s="190"/>
      <c r="R12" s="190"/>
      <c r="S12" s="190"/>
      <c r="T12" s="190"/>
      <c r="U12" s="190"/>
      <c r="V12" s="190"/>
      <c r="W12" s="190"/>
      <c r="X12" s="190"/>
      <c r="Y12" s="190"/>
      <c r="Z12" s="190"/>
    </row>
    <row r="13">
      <c r="A13" s="190"/>
      <c r="B13" s="195" t="s">
        <v>622</v>
      </c>
      <c r="C13" s="190"/>
      <c r="D13" s="196"/>
      <c r="E13" s="201" t="str">
        <f>FillIn!M4</f>
        <v>de heer G. Aslan</v>
      </c>
      <c r="F13" s="199"/>
      <c r="G13" s="199"/>
      <c r="H13" s="199"/>
      <c r="I13" s="199"/>
      <c r="J13" s="190"/>
      <c r="K13" s="190"/>
      <c r="L13" s="190"/>
      <c r="M13" s="190"/>
      <c r="N13" s="190"/>
      <c r="O13" s="190"/>
      <c r="P13" s="190"/>
      <c r="Q13" s="190"/>
      <c r="R13" s="190"/>
      <c r="S13" s="190"/>
      <c r="T13" s="190"/>
      <c r="U13" s="190"/>
      <c r="V13" s="190"/>
      <c r="W13" s="190"/>
      <c r="X13" s="190"/>
      <c r="Y13" s="190"/>
      <c r="Z13" s="190"/>
    </row>
    <row r="14">
      <c r="A14" s="190"/>
      <c r="B14" s="195" t="s">
        <v>35</v>
      </c>
      <c r="C14" s="190"/>
      <c r="D14" s="196"/>
      <c r="E14" s="202" t="str">
        <f>FillIn!D5</f>
        <v>Bikscotelaan 248 /2/2140 Borgerhout</v>
      </c>
      <c r="F14" s="196"/>
      <c r="G14" s="196"/>
      <c r="H14" s="196"/>
      <c r="I14" s="196"/>
      <c r="J14" s="190"/>
      <c r="K14" s="190"/>
      <c r="L14" s="190"/>
      <c r="M14" s="190"/>
      <c r="N14" s="190"/>
      <c r="O14" s="190"/>
      <c r="P14" s="190"/>
      <c r="Q14" s="190"/>
      <c r="R14" s="190"/>
      <c r="S14" s="190"/>
      <c r="T14" s="190"/>
      <c r="U14" s="190"/>
      <c r="V14" s="190"/>
      <c r="W14" s="190"/>
      <c r="X14" s="190"/>
      <c r="Y14" s="190"/>
      <c r="Z14" s="190"/>
    </row>
    <row r="15">
      <c r="A15" s="190"/>
      <c r="B15" s="195" t="s">
        <v>623</v>
      </c>
      <c r="C15" s="190"/>
      <c r="D15" s="196"/>
      <c r="E15" s="202" t="str">
        <f>FillIn!D6&amp;" "&amp;FillIn!D7</f>
        <v>2140 An twerp</v>
      </c>
      <c r="F15" s="193"/>
      <c r="G15" s="193"/>
      <c r="H15" s="193"/>
      <c r="I15" s="193"/>
      <c r="J15" s="190"/>
      <c r="K15" s="190"/>
      <c r="L15" s="190"/>
      <c r="M15" s="190"/>
      <c r="N15" s="190"/>
      <c r="O15" s="190"/>
      <c r="P15" s="190"/>
      <c r="Q15" s="190"/>
      <c r="R15" s="190"/>
      <c r="S15" s="190"/>
      <c r="T15" s="190"/>
      <c r="U15" s="190"/>
      <c r="V15" s="190"/>
      <c r="W15" s="190"/>
      <c r="X15" s="190"/>
      <c r="Y15" s="190"/>
      <c r="Z15" s="190"/>
    </row>
    <row r="16">
      <c r="A16" s="190"/>
      <c r="B16" s="195" t="s">
        <v>624</v>
      </c>
      <c r="C16" s="190"/>
      <c r="D16" s="196"/>
      <c r="E16" s="203">
        <f>FillIn!D8</f>
        <v>29310</v>
      </c>
      <c r="F16" s="196"/>
      <c r="G16" s="196"/>
      <c r="H16" s="196"/>
      <c r="I16" s="196"/>
      <c r="J16" s="190"/>
      <c r="K16" s="190"/>
      <c r="L16" s="190"/>
      <c r="M16" s="190"/>
      <c r="N16" s="190"/>
      <c r="O16" s="190"/>
      <c r="P16" s="190"/>
      <c r="Q16" s="190"/>
      <c r="R16" s="190"/>
      <c r="S16" s="190"/>
      <c r="T16" s="190"/>
      <c r="U16" s="190"/>
      <c r="V16" s="190"/>
      <c r="W16" s="190"/>
      <c r="X16" s="190"/>
      <c r="Y16" s="190"/>
      <c r="Z16" s="190"/>
    </row>
    <row r="17">
      <c r="A17" s="190"/>
      <c r="B17" s="204"/>
      <c r="C17" s="196"/>
      <c r="D17" s="196"/>
      <c r="E17" s="196"/>
      <c r="F17" s="196"/>
      <c r="G17" s="196"/>
      <c r="H17" s="193"/>
      <c r="I17" s="193"/>
      <c r="J17" s="190"/>
      <c r="K17" s="190"/>
      <c r="L17" s="190"/>
      <c r="M17" s="190"/>
      <c r="N17" s="190"/>
      <c r="O17" s="190"/>
      <c r="P17" s="190"/>
      <c r="Q17" s="190"/>
      <c r="R17" s="190"/>
      <c r="S17" s="190"/>
      <c r="T17" s="190"/>
      <c r="U17" s="190"/>
      <c r="V17" s="190"/>
      <c r="W17" s="190"/>
      <c r="X17" s="190"/>
      <c r="Y17" s="190"/>
      <c r="Z17" s="190"/>
    </row>
    <row r="18">
      <c r="A18" s="190"/>
      <c r="B18" s="195" t="s">
        <v>625</v>
      </c>
      <c r="C18" s="196"/>
      <c r="D18" s="196"/>
      <c r="E18" s="196"/>
      <c r="F18" s="196"/>
      <c r="G18" s="196"/>
      <c r="H18" s="196"/>
      <c r="I18" s="196"/>
      <c r="J18" s="190"/>
      <c r="K18" s="190"/>
      <c r="L18" s="190"/>
      <c r="M18" s="190"/>
      <c r="N18" s="190"/>
      <c r="O18" s="190"/>
      <c r="P18" s="190"/>
      <c r="Q18" s="190"/>
      <c r="R18" s="190"/>
      <c r="S18" s="190"/>
      <c r="T18" s="190"/>
      <c r="U18" s="190"/>
      <c r="V18" s="190"/>
      <c r="W18" s="190"/>
      <c r="X18" s="190"/>
      <c r="Y18" s="190"/>
      <c r="Z18" s="190"/>
    </row>
    <row r="19">
      <c r="A19" s="190"/>
      <c r="B19" s="204"/>
      <c r="C19" s="196"/>
      <c r="D19" s="196"/>
      <c r="E19" s="196"/>
      <c r="F19" s="196"/>
      <c r="G19" s="196"/>
      <c r="H19" s="196"/>
      <c r="I19" s="196"/>
      <c r="J19" s="190"/>
      <c r="K19" s="190"/>
      <c r="L19" s="190"/>
      <c r="M19" s="190"/>
      <c r="N19" s="190"/>
      <c r="O19" s="190"/>
      <c r="P19" s="190"/>
      <c r="Q19" s="190"/>
      <c r="R19" s="190"/>
      <c r="S19" s="190"/>
      <c r="T19" s="190"/>
      <c r="U19" s="190"/>
      <c r="V19" s="190"/>
      <c r="W19" s="190"/>
      <c r="X19" s="190"/>
      <c r="Y19" s="190"/>
      <c r="Z19" s="190"/>
    </row>
    <row r="20">
      <c r="A20" s="190"/>
      <c r="B20" s="195" t="s">
        <v>626</v>
      </c>
      <c r="C20" s="196"/>
      <c r="D20" s="196"/>
      <c r="E20" s="196"/>
      <c r="F20" s="196"/>
      <c r="G20" s="196"/>
      <c r="H20" s="196"/>
      <c r="I20" s="196"/>
      <c r="J20" s="190"/>
      <c r="K20" s="190"/>
      <c r="L20" s="190"/>
      <c r="M20" s="190"/>
      <c r="N20" s="190"/>
      <c r="O20" s="190"/>
      <c r="P20" s="190"/>
      <c r="Q20" s="190"/>
      <c r="R20" s="190"/>
      <c r="S20" s="190"/>
      <c r="T20" s="190"/>
      <c r="U20" s="190"/>
      <c r="V20" s="190"/>
      <c r="W20" s="190"/>
      <c r="X20" s="190"/>
      <c r="Y20" s="190"/>
      <c r="Z20" s="190"/>
    </row>
    <row r="21">
      <c r="A21" s="190"/>
      <c r="B21" s="196"/>
      <c r="C21" s="196"/>
      <c r="D21" s="196"/>
      <c r="E21" s="193"/>
      <c r="F21" s="193"/>
      <c r="G21" s="193"/>
      <c r="H21" s="193"/>
      <c r="I21" s="193"/>
      <c r="J21" s="190"/>
      <c r="K21" s="190"/>
      <c r="L21" s="190"/>
      <c r="M21" s="190"/>
      <c r="N21" s="190"/>
      <c r="O21" s="190"/>
      <c r="P21" s="190"/>
      <c r="Q21" s="190"/>
      <c r="R21" s="190"/>
      <c r="S21" s="190"/>
      <c r="T21" s="190"/>
      <c r="U21" s="190"/>
      <c r="V21" s="190"/>
      <c r="W21" s="190"/>
      <c r="X21" s="190"/>
      <c r="Y21" s="190"/>
      <c r="Z21" s="190"/>
    </row>
    <row r="22">
      <c r="A22" s="190"/>
      <c r="B22" s="195" t="s">
        <v>627</v>
      </c>
      <c r="J22" s="190"/>
      <c r="K22" s="190"/>
      <c r="L22" s="190"/>
      <c r="M22" s="190"/>
      <c r="N22" s="190"/>
      <c r="O22" s="190"/>
      <c r="P22" s="190"/>
      <c r="Q22" s="190"/>
      <c r="R22" s="190"/>
      <c r="S22" s="190"/>
      <c r="T22" s="190"/>
      <c r="U22" s="190"/>
      <c r="V22" s="190"/>
      <c r="W22" s="190"/>
      <c r="X22" s="190"/>
      <c r="Y22" s="190"/>
      <c r="Z22" s="190"/>
    </row>
    <row r="23">
      <c r="A23" s="190"/>
      <c r="B23" s="204"/>
      <c r="C23" s="196"/>
      <c r="D23" s="196"/>
      <c r="E23" s="196"/>
      <c r="F23" s="196"/>
      <c r="G23" s="196"/>
      <c r="H23" s="196"/>
      <c r="I23" s="205"/>
      <c r="J23" s="190"/>
      <c r="K23" s="190"/>
      <c r="L23" s="190"/>
      <c r="M23" s="190"/>
      <c r="N23" s="190"/>
      <c r="O23" s="190"/>
      <c r="P23" s="190"/>
      <c r="Q23" s="190"/>
      <c r="R23" s="190"/>
      <c r="S23" s="190"/>
      <c r="T23" s="190"/>
      <c r="U23" s="190"/>
      <c r="V23" s="190"/>
      <c r="W23" s="190"/>
      <c r="X23" s="190"/>
      <c r="Y23" s="190"/>
      <c r="Z23" s="190"/>
    </row>
    <row r="24">
      <c r="A24" s="190"/>
      <c r="B24" s="195" t="s">
        <v>628</v>
      </c>
      <c r="J24" s="190"/>
      <c r="K24" s="190"/>
      <c r="L24" s="190"/>
      <c r="M24" s="190"/>
      <c r="N24" s="190"/>
      <c r="O24" s="190"/>
      <c r="P24" s="190"/>
      <c r="Q24" s="190"/>
      <c r="R24" s="190"/>
      <c r="S24" s="190"/>
      <c r="T24" s="190"/>
      <c r="U24" s="190"/>
      <c r="V24" s="190"/>
      <c r="W24" s="190"/>
      <c r="X24" s="190"/>
      <c r="Y24" s="190"/>
      <c r="Z24" s="190"/>
    </row>
    <row r="25">
      <c r="A25" s="190"/>
      <c r="B25" s="195" t="s">
        <v>629</v>
      </c>
      <c r="J25" s="190"/>
      <c r="K25" s="190"/>
      <c r="L25" s="190"/>
      <c r="M25" s="190"/>
      <c r="N25" s="190"/>
      <c r="O25" s="190"/>
      <c r="P25" s="190"/>
      <c r="Q25" s="190"/>
      <c r="R25" s="190"/>
      <c r="S25" s="190"/>
      <c r="T25" s="190"/>
      <c r="U25" s="190"/>
      <c r="V25" s="190"/>
      <c r="W25" s="190"/>
      <c r="X25" s="190"/>
      <c r="Y25" s="190"/>
      <c r="Z25" s="190"/>
    </row>
    <row r="26">
      <c r="A26" s="190"/>
      <c r="B26" s="206"/>
      <c r="C26" s="196"/>
      <c r="D26" s="196"/>
      <c r="E26" s="193"/>
      <c r="F26" s="193"/>
      <c r="G26" s="193"/>
      <c r="H26" s="193"/>
      <c r="I26" s="190"/>
      <c r="J26" s="190"/>
      <c r="K26" s="190"/>
      <c r="L26" s="190"/>
      <c r="M26" s="190"/>
      <c r="N26" s="190"/>
      <c r="O26" s="190"/>
      <c r="P26" s="190"/>
      <c r="Q26" s="190"/>
      <c r="R26" s="190"/>
      <c r="S26" s="190"/>
      <c r="T26" s="190"/>
      <c r="U26" s="190"/>
      <c r="V26" s="190"/>
      <c r="W26" s="190"/>
      <c r="X26" s="190"/>
      <c r="Y26" s="190"/>
      <c r="Z26" s="190"/>
    </row>
    <row r="27">
      <c r="A27" s="190"/>
      <c r="B27" s="207" t="str">
        <f>IF(FillIn!D40&gt;0,"Werknemer met ingang van "&amp;TEXT(FillIn!D38,"dd mmmm yyyy")&amp;" is ingedeeld in functie: "&amp;FillIn!D40&amp;".",IF(FillIn!D42&gt;0,"De arbeidsduur van de werknemer met ingang van "&amp;TEXT(FillIn!D38,"dd mmmm yyyy")&amp;" bedraagt "&amp;FillIn!D42&amp;" uur per week.",IF(FillIn!D45&gt;0,"Werknemer met ingang van "&amp;TEXT(FillIn!D38,"dd mmmm yyyy")&amp;" werkt op de dagen "&amp;FillIn!D44&amp;" van "&amp;TEXT(FillIn!D45,"hh:mm")&amp;" tot "&amp;TEXT(FillIn!D46,"hh:mm")&amp;" uur.",IF(FillIn!D48&gt;0,"Werknemer met ingang van "&amp;TEXT(FillIn!D38,"dd mmmm yyyy")&amp;" is ingedeeld in functiegroep: "&amp;FillIn!D48&amp;" met functiejaar "&amp;FillIn!D49&amp;"."," - "))))</f>
        <v>Werknemer met ingang van 02 november 2025 werkt op de dagen za zo van 07:00 tot 19:00 uur.</v>
      </c>
      <c r="J27" s="190"/>
      <c r="K27" s="190"/>
      <c r="L27" s="190"/>
      <c r="M27" s="190"/>
      <c r="N27" s="190"/>
      <c r="O27" s="190"/>
      <c r="P27" s="190"/>
      <c r="Q27" s="190"/>
      <c r="R27" s="190"/>
      <c r="S27" s="190"/>
      <c r="T27" s="190"/>
      <c r="U27" s="190"/>
      <c r="V27" s="190"/>
      <c r="W27" s="190"/>
      <c r="X27" s="190"/>
      <c r="Y27" s="190"/>
      <c r="Z27" s="190"/>
    </row>
    <row r="28">
      <c r="A28" s="190"/>
      <c r="B28" s="208"/>
      <c r="C28" s="196"/>
      <c r="D28" s="196"/>
      <c r="E28" s="152"/>
      <c r="F28" s="152"/>
      <c r="G28" s="152"/>
      <c r="H28" s="196"/>
      <c r="I28" s="193"/>
      <c r="J28" s="190"/>
      <c r="K28" s="190"/>
      <c r="L28" s="190"/>
      <c r="M28" s="190"/>
      <c r="N28" s="190"/>
      <c r="O28" s="190"/>
      <c r="P28" s="190"/>
      <c r="Q28" s="190"/>
      <c r="R28" s="190"/>
      <c r="S28" s="190"/>
      <c r="T28" s="190"/>
      <c r="U28" s="190"/>
      <c r="V28" s="190"/>
      <c r="W28" s="190"/>
      <c r="X28" s="190"/>
      <c r="Y28" s="190"/>
      <c r="Z28" s="190"/>
    </row>
    <row r="29">
      <c r="A29" s="190"/>
      <c r="B29" s="205" t="s">
        <v>630</v>
      </c>
      <c r="J29" s="190"/>
      <c r="K29" s="190"/>
      <c r="L29" s="190"/>
      <c r="M29" s="190"/>
      <c r="N29" s="190"/>
      <c r="O29" s="190"/>
      <c r="P29" s="190"/>
      <c r="Q29" s="190"/>
      <c r="R29" s="190"/>
      <c r="S29" s="190"/>
      <c r="T29" s="190"/>
      <c r="U29" s="190"/>
      <c r="V29" s="190"/>
      <c r="W29" s="190"/>
      <c r="X29" s="190"/>
      <c r="Y29" s="190"/>
      <c r="Z29" s="190"/>
    </row>
    <row r="30">
      <c r="A30" s="190"/>
      <c r="B30" s="195" t="s">
        <v>631</v>
      </c>
      <c r="J30" s="190"/>
      <c r="K30" s="190"/>
      <c r="L30" s="190"/>
      <c r="M30" s="190"/>
      <c r="N30" s="190"/>
      <c r="O30" s="190"/>
      <c r="P30" s="190"/>
      <c r="Q30" s="190"/>
      <c r="R30" s="190"/>
      <c r="S30" s="190"/>
      <c r="T30" s="190"/>
      <c r="U30" s="190"/>
      <c r="V30" s="190"/>
      <c r="W30" s="190"/>
      <c r="X30" s="190"/>
      <c r="Y30" s="190"/>
      <c r="Z30" s="190"/>
    </row>
    <row r="31">
      <c r="A31" s="190"/>
      <c r="B31" s="204"/>
      <c r="C31" s="196"/>
      <c r="D31" s="196"/>
      <c r="E31" s="196"/>
      <c r="F31" s="196"/>
      <c r="G31" s="196"/>
      <c r="H31" s="196"/>
      <c r="I31" s="209"/>
      <c r="J31" s="190"/>
      <c r="K31" s="190"/>
      <c r="L31" s="190"/>
      <c r="M31" s="190"/>
      <c r="N31" s="190"/>
      <c r="O31" s="190"/>
      <c r="P31" s="190"/>
      <c r="Q31" s="190"/>
      <c r="R31" s="190"/>
      <c r="S31" s="190"/>
      <c r="T31" s="190"/>
      <c r="U31" s="190"/>
      <c r="V31" s="190"/>
      <c r="W31" s="190"/>
      <c r="X31" s="190"/>
      <c r="Y31" s="190"/>
      <c r="Z31" s="190"/>
    </row>
    <row r="32">
      <c r="A32" s="190"/>
      <c r="B32" s="195" t="str">
        <f>"Aldus overeengekomen en in tweevoud opgemaakt te "&amp;FillIn!H8&amp;" op "&amp;TEXT(FillIn!D38-3,"dd mmmm yyyy")&amp;"."</f>
        <v>Aldus overeengekomen en in tweevoud opgemaakt te Barendrecht op 30 oktober 2025.</v>
      </c>
      <c r="J32" s="190"/>
      <c r="K32" s="190"/>
      <c r="L32" s="190"/>
      <c r="M32" s="190"/>
      <c r="N32" s="190"/>
      <c r="O32" s="190"/>
      <c r="P32" s="190"/>
      <c r="Q32" s="190"/>
      <c r="R32" s="190"/>
      <c r="S32" s="190"/>
      <c r="T32" s="190"/>
      <c r="U32" s="190"/>
      <c r="V32" s="190"/>
      <c r="W32" s="190"/>
      <c r="X32" s="190"/>
      <c r="Y32" s="190"/>
      <c r="Z32" s="190"/>
    </row>
    <row r="33">
      <c r="A33" s="190"/>
      <c r="B33" s="196"/>
      <c r="C33" s="210"/>
      <c r="D33" s="196"/>
      <c r="E33" s="196"/>
      <c r="F33" s="196"/>
      <c r="G33" s="196"/>
      <c r="H33" s="196"/>
      <c r="I33" s="209"/>
      <c r="J33" s="190"/>
      <c r="K33" s="190"/>
      <c r="L33" s="190"/>
      <c r="M33" s="190"/>
      <c r="N33" s="190"/>
      <c r="O33" s="190"/>
      <c r="P33" s="190"/>
      <c r="Q33" s="190"/>
      <c r="R33" s="190"/>
      <c r="S33" s="190"/>
      <c r="T33" s="190"/>
      <c r="U33" s="190"/>
      <c r="V33" s="190"/>
      <c r="W33" s="190"/>
      <c r="X33" s="190"/>
      <c r="Y33" s="190"/>
      <c r="Z33" s="190"/>
    </row>
    <row r="34">
      <c r="A34" s="190"/>
      <c r="B34" s="130" t="str">
        <f>"Namens werkgever "&amp;FillIn!H4</f>
        <v>Namens werkgever DeNeX Uitzendbureau B.V.</v>
      </c>
      <c r="D34" s="196"/>
      <c r="E34" s="196"/>
      <c r="F34" s="196"/>
      <c r="G34" s="196"/>
      <c r="H34" s="132" t="s">
        <v>632</v>
      </c>
      <c r="I34" s="209"/>
      <c r="J34" s="190"/>
      <c r="K34" s="190"/>
      <c r="L34" s="190"/>
      <c r="M34" s="190"/>
      <c r="N34" s="190"/>
      <c r="O34" s="190"/>
      <c r="P34" s="190"/>
      <c r="Q34" s="190"/>
      <c r="R34" s="190"/>
      <c r="S34" s="190"/>
      <c r="T34" s="190"/>
      <c r="U34" s="190"/>
      <c r="V34" s="190"/>
      <c r="W34" s="190"/>
      <c r="X34" s="190"/>
      <c r="Y34" s="190"/>
      <c r="Z34" s="190"/>
    </row>
    <row r="35">
      <c r="A35" s="190"/>
      <c r="B35" s="196"/>
      <c r="C35" s="196"/>
      <c r="D35" s="196"/>
      <c r="E35" s="152"/>
      <c r="F35" s="152"/>
      <c r="G35" s="152"/>
      <c r="H35" s="193"/>
      <c r="I35" s="193"/>
      <c r="J35" s="190"/>
      <c r="K35" s="190"/>
      <c r="L35" s="190"/>
      <c r="M35" s="190"/>
      <c r="N35" s="190"/>
      <c r="O35" s="190"/>
      <c r="P35" s="190"/>
      <c r="Q35" s="190"/>
      <c r="R35" s="190"/>
      <c r="S35" s="190"/>
      <c r="T35" s="190"/>
      <c r="U35" s="190"/>
      <c r="V35" s="190"/>
      <c r="W35" s="190"/>
      <c r="X35" s="190"/>
      <c r="Y35" s="190"/>
      <c r="Z35" s="190"/>
    </row>
    <row r="36">
      <c r="A36" s="190"/>
      <c r="B36" s="196"/>
      <c r="C36" s="210"/>
      <c r="D36" s="196"/>
      <c r="E36" s="152"/>
      <c r="F36" s="193"/>
      <c r="G36" s="193"/>
      <c r="H36" s="193"/>
      <c r="I36" s="190"/>
      <c r="J36" s="190"/>
      <c r="K36" s="190"/>
      <c r="L36" s="190"/>
      <c r="M36" s="190"/>
      <c r="N36" s="190"/>
      <c r="O36" s="190"/>
      <c r="P36" s="190"/>
      <c r="Q36" s="190"/>
      <c r="R36" s="190"/>
      <c r="S36" s="190"/>
      <c r="T36" s="190"/>
      <c r="U36" s="190"/>
      <c r="V36" s="190"/>
      <c r="W36" s="190"/>
      <c r="X36" s="190"/>
      <c r="Y36" s="190"/>
      <c r="Z36" s="190"/>
    </row>
    <row r="37">
      <c r="A37" s="190"/>
      <c r="B37" s="196"/>
      <c r="C37" s="210"/>
      <c r="D37" s="196"/>
      <c r="E37" s="152"/>
      <c r="F37" s="152"/>
      <c r="G37" s="152"/>
      <c r="H37" s="152"/>
      <c r="I37" s="152"/>
      <c r="J37" s="190"/>
      <c r="K37" s="190"/>
      <c r="L37" s="190"/>
      <c r="M37" s="190"/>
      <c r="N37" s="190"/>
      <c r="O37" s="190"/>
      <c r="P37" s="190"/>
      <c r="Q37" s="190"/>
      <c r="R37" s="190"/>
      <c r="S37" s="190"/>
      <c r="T37" s="190"/>
      <c r="U37" s="190"/>
      <c r="V37" s="190"/>
      <c r="W37" s="190"/>
      <c r="X37" s="190"/>
      <c r="Y37" s="190"/>
      <c r="Z37" s="190"/>
    </row>
    <row r="38">
      <c r="A38" s="190"/>
      <c r="B38" s="196"/>
      <c r="C38" s="196"/>
      <c r="D38" s="196"/>
      <c r="E38" s="152"/>
      <c r="F38" s="152"/>
      <c r="G38" s="152"/>
      <c r="H38" s="193"/>
      <c r="I38" s="193"/>
      <c r="J38" s="190"/>
      <c r="K38" s="190"/>
      <c r="L38" s="190"/>
      <c r="M38" s="190"/>
      <c r="N38" s="190"/>
      <c r="O38" s="190"/>
      <c r="P38" s="190"/>
      <c r="Q38" s="190"/>
      <c r="R38" s="190"/>
      <c r="S38" s="190"/>
      <c r="T38" s="190"/>
      <c r="U38" s="190"/>
      <c r="V38" s="190"/>
      <c r="W38" s="190"/>
      <c r="X38" s="190"/>
      <c r="Y38" s="190"/>
      <c r="Z38" s="190"/>
    </row>
    <row r="39">
      <c r="A39" s="190"/>
      <c r="B39" s="130" t="s">
        <v>633</v>
      </c>
      <c r="D39" s="196"/>
      <c r="E39" s="193"/>
      <c r="F39" s="193"/>
      <c r="G39" s="193"/>
      <c r="H39" s="132" t="s">
        <v>634</v>
      </c>
      <c r="I39" s="190"/>
      <c r="J39" s="190"/>
      <c r="K39" s="190"/>
      <c r="L39" s="190"/>
      <c r="M39" s="190"/>
      <c r="N39" s="190"/>
      <c r="O39" s="190"/>
      <c r="P39" s="190"/>
      <c r="Q39" s="190"/>
      <c r="R39" s="190"/>
      <c r="S39" s="190"/>
      <c r="T39" s="190"/>
      <c r="U39" s="190"/>
      <c r="V39" s="190"/>
      <c r="W39" s="190"/>
      <c r="X39" s="190"/>
      <c r="Y39" s="190"/>
      <c r="Z39" s="190"/>
    </row>
    <row r="40">
      <c r="A40" s="190"/>
      <c r="B40" s="130" t="str">
        <f>FillIn!M5</f>
        <v>de heer D.O. Ibryam</v>
      </c>
      <c r="D40" s="196"/>
      <c r="E40" s="196"/>
      <c r="F40" s="196"/>
      <c r="G40" s="196"/>
      <c r="H40" s="132" t="str">
        <f>FillIn!M4</f>
        <v>de heer G. Aslan</v>
      </c>
      <c r="I40" s="209"/>
      <c r="J40" s="190"/>
      <c r="K40" s="190"/>
      <c r="L40" s="190"/>
      <c r="M40" s="190"/>
      <c r="N40" s="190"/>
      <c r="O40" s="190"/>
      <c r="P40" s="190"/>
      <c r="Q40" s="190"/>
      <c r="R40" s="190"/>
      <c r="S40" s="190"/>
      <c r="T40" s="190"/>
      <c r="U40" s="190"/>
      <c r="V40" s="190"/>
      <c r="W40" s="190"/>
      <c r="X40" s="190"/>
      <c r="Y40" s="190"/>
      <c r="Z40" s="190"/>
    </row>
    <row r="41">
      <c r="A41" s="190"/>
      <c r="B41" s="211"/>
      <c r="E41" s="196"/>
      <c r="F41" s="196"/>
      <c r="G41" s="196"/>
      <c r="H41" s="196"/>
      <c r="I41" s="152"/>
      <c r="J41" s="190"/>
      <c r="K41" s="190"/>
      <c r="L41" s="190"/>
      <c r="M41" s="190"/>
      <c r="N41" s="190"/>
      <c r="O41" s="190"/>
      <c r="P41" s="190"/>
      <c r="Q41" s="190"/>
      <c r="R41" s="190"/>
      <c r="S41" s="190"/>
      <c r="T41" s="190"/>
      <c r="U41" s="190"/>
      <c r="V41" s="190"/>
      <c r="W41" s="190"/>
      <c r="X41" s="190"/>
      <c r="Y41" s="190"/>
      <c r="Z41" s="190"/>
    </row>
    <row r="42">
      <c r="A42" s="190"/>
      <c r="B42" s="152"/>
      <c r="J42" s="190"/>
      <c r="K42" s="190"/>
      <c r="L42" s="190"/>
      <c r="M42" s="190"/>
      <c r="N42" s="190"/>
      <c r="O42" s="190"/>
      <c r="P42" s="190"/>
      <c r="Q42" s="190"/>
      <c r="R42" s="190"/>
      <c r="S42" s="190"/>
      <c r="T42" s="190"/>
      <c r="U42" s="190"/>
      <c r="V42" s="190"/>
      <c r="W42" s="190"/>
      <c r="X42" s="190"/>
      <c r="Y42" s="190"/>
      <c r="Z42" s="190"/>
    </row>
    <row r="43">
      <c r="A43" s="190"/>
      <c r="B43" s="152"/>
      <c r="J43" s="190"/>
      <c r="K43" s="190"/>
      <c r="L43" s="190"/>
      <c r="M43" s="190"/>
      <c r="N43" s="190"/>
      <c r="O43" s="190"/>
      <c r="P43" s="190"/>
      <c r="Q43" s="190"/>
      <c r="R43" s="190"/>
      <c r="S43" s="190"/>
      <c r="T43" s="190"/>
      <c r="U43" s="190"/>
      <c r="V43" s="190"/>
      <c r="W43" s="190"/>
      <c r="X43" s="190"/>
      <c r="Y43" s="190"/>
      <c r="Z43" s="190"/>
    </row>
    <row r="44">
      <c r="A44" s="190"/>
      <c r="B44" s="152"/>
      <c r="J44" s="190"/>
      <c r="K44" s="190"/>
      <c r="L44" s="190"/>
      <c r="M44" s="190"/>
      <c r="N44" s="190"/>
      <c r="O44" s="190"/>
      <c r="P44" s="190"/>
      <c r="Q44" s="190"/>
      <c r="R44" s="190"/>
      <c r="S44" s="190"/>
      <c r="T44" s="190"/>
      <c r="U44" s="190"/>
      <c r="V44" s="190"/>
      <c r="W44" s="190"/>
      <c r="X44" s="190"/>
      <c r="Y44" s="190"/>
      <c r="Z44" s="190"/>
    </row>
    <row r="45">
      <c r="A45" s="190"/>
      <c r="B45" s="152"/>
      <c r="J45" s="190"/>
      <c r="K45" s="190"/>
      <c r="L45" s="190"/>
      <c r="M45" s="190"/>
      <c r="N45" s="190"/>
      <c r="O45" s="190"/>
      <c r="P45" s="190"/>
      <c r="Q45" s="190"/>
      <c r="R45" s="190"/>
      <c r="S45" s="190"/>
      <c r="T45" s="190"/>
      <c r="U45" s="190"/>
      <c r="V45" s="190"/>
      <c r="W45" s="190"/>
      <c r="X45" s="190"/>
      <c r="Y45" s="190"/>
      <c r="Z45" s="190"/>
    </row>
    <row r="46">
      <c r="A46" s="190"/>
      <c r="B46" s="212"/>
      <c r="C46" s="196"/>
      <c r="D46" s="196"/>
      <c r="E46" s="196"/>
      <c r="F46" s="196"/>
      <c r="G46" s="196"/>
      <c r="H46" s="196"/>
      <c r="I46" s="152"/>
      <c r="J46" s="190"/>
      <c r="K46" s="190"/>
      <c r="L46" s="190"/>
      <c r="M46" s="190"/>
      <c r="N46" s="190"/>
      <c r="O46" s="190"/>
      <c r="P46" s="190"/>
      <c r="Q46" s="190"/>
      <c r="R46" s="190"/>
      <c r="S46" s="190"/>
      <c r="T46" s="190"/>
      <c r="U46" s="190"/>
      <c r="V46" s="190"/>
      <c r="W46" s="190"/>
      <c r="X46" s="190"/>
      <c r="Y46" s="190"/>
      <c r="Z46" s="190"/>
    </row>
    <row r="47">
      <c r="A47" s="190"/>
      <c r="B47" s="213"/>
      <c r="E47" s="196"/>
      <c r="F47" s="193"/>
      <c r="G47" s="193"/>
      <c r="H47" s="193"/>
      <c r="I47" s="190"/>
      <c r="J47" s="190"/>
      <c r="K47" s="190"/>
      <c r="L47" s="190"/>
      <c r="M47" s="190"/>
      <c r="N47" s="190"/>
      <c r="O47" s="190"/>
      <c r="P47" s="190"/>
      <c r="Q47" s="190"/>
      <c r="R47" s="190"/>
      <c r="S47" s="190"/>
      <c r="T47" s="190"/>
      <c r="U47" s="190"/>
      <c r="V47" s="190"/>
      <c r="W47" s="190"/>
      <c r="X47" s="190"/>
      <c r="Y47" s="190"/>
      <c r="Z47" s="190"/>
    </row>
    <row r="48">
      <c r="A48" s="190"/>
      <c r="B48" s="214"/>
      <c r="E48" s="193"/>
      <c r="F48" s="193"/>
      <c r="G48" s="193"/>
      <c r="H48" s="193"/>
      <c r="I48" s="190"/>
      <c r="J48" s="190"/>
      <c r="K48" s="190"/>
      <c r="L48" s="190"/>
      <c r="M48" s="190"/>
      <c r="N48" s="190"/>
      <c r="O48" s="190"/>
      <c r="P48" s="190"/>
      <c r="Q48" s="190"/>
      <c r="R48" s="190"/>
      <c r="S48" s="190"/>
      <c r="T48" s="190"/>
      <c r="U48" s="190"/>
      <c r="V48" s="190"/>
      <c r="W48" s="190"/>
      <c r="X48" s="190"/>
      <c r="Y48" s="190"/>
      <c r="Z48" s="190"/>
    </row>
    <row r="49">
      <c r="A49" s="190"/>
      <c r="B49" s="152"/>
      <c r="D49" s="193"/>
      <c r="E49" s="193"/>
      <c r="F49" s="193"/>
      <c r="G49" s="193"/>
      <c r="H49" s="193"/>
      <c r="I49" s="190"/>
      <c r="J49" s="190"/>
      <c r="K49" s="190"/>
      <c r="L49" s="190"/>
      <c r="M49" s="190"/>
      <c r="N49" s="190"/>
      <c r="O49" s="190"/>
      <c r="P49" s="190"/>
      <c r="Q49" s="190"/>
      <c r="R49" s="190"/>
      <c r="S49" s="190"/>
      <c r="T49" s="190"/>
      <c r="U49" s="190"/>
      <c r="V49" s="190"/>
      <c r="W49" s="190"/>
      <c r="X49" s="190"/>
      <c r="Y49" s="190"/>
      <c r="Z49" s="190"/>
    </row>
    <row r="50">
      <c r="A50" s="190"/>
      <c r="B50" s="152"/>
      <c r="D50" s="196"/>
      <c r="E50" s="196"/>
      <c r="F50" s="196"/>
      <c r="G50" s="196"/>
      <c r="H50" s="196"/>
      <c r="I50" s="152"/>
      <c r="J50" s="190"/>
      <c r="K50" s="190"/>
      <c r="L50" s="190"/>
      <c r="M50" s="190"/>
      <c r="N50" s="190"/>
      <c r="O50" s="190"/>
      <c r="P50" s="190"/>
      <c r="Q50" s="190"/>
      <c r="R50" s="190"/>
      <c r="S50" s="190"/>
      <c r="T50" s="190"/>
      <c r="U50" s="190"/>
      <c r="V50" s="190"/>
      <c r="W50" s="190"/>
      <c r="X50" s="190"/>
      <c r="Y50" s="190"/>
      <c r="Z50" s="190"/>
    </row>
    <row r="51">
      <c r="A51" s="190"/>
      <c r="B51" s="152"/>
      <c r="C51" s="196"/>
      <c r="D51" s="196"/>
      <c r="E51" s="196"/>
      <c r="F51" s="196"/>
      <c r="G51" s="196"/>
      <c r="H51" s="196"/>
      <c r="I51" s="152"/>
      <c r="J51" s="190"/>
      <c r="K51" s="190"/>
      <c r="L51" s="190"/>
      <c r="M51" s="190"/>
      <c r="N51" s="190"/>
      <c r="O51" s="190"/>
      <c r="P51" s="190"/>
      <c r="Q51" s="190"/>
      <c r="R51" s="190"/>
      <c r="S51" s="190"/>
      <c r="T51" s="190"/>
      <c r="U51" s="190"/>
      <c r="V51" s="190"/>
      <c r="W51" s="190"/>
      <c r="X51" s="190"/>
      <c r="Y51" s="190"/>
      <c r="Z51" s="190"/>
    </row>
    <row r="52">
      <c r="A52" s="190"/>
      <c r="B52" s="152"/>
      <c r="E52" s="193"/>
      <c r="F52" s="193"/>
      <c r="G52" s="193"/>
      <c r="H52" s="193"/>
      <c r="I52" s="190"/>
      <c r="J52" s="190"/>
      <c r="K52" s="190"/>
      <c r="L52" s="190"/>
      <c r="M52" s="190"/>
      <c r="N52" s="190"/>
      <c r="O52" s="190"/>
      <c r="P52" s="190"/>
      <c r="Q52" s="190"/>
      <c r="R52" s="190"/>
      <c r="S52" s="190"/>
      <c r="T52" s="190"/>
      <c r="U52" s="190"/>
      <c r="V52" s="190"/>
      <c r="W52" s="190"/>
      <c r="X52" s="190"/>
      <c r="Y52" s="190"/>
      <c r="Z52" s="190"/>
    </row>
    <row r="53">
      <c r="A53" s="190"/>
      <c r="B53" s="215"/>
      <c r="J53" s="190"/>
      <c r="K53" s="190"/>
      <c r="L53" s="190"/>
      <c r="M53" s="190"/>
      <c r="N53" s="190"/>
      <c r="O53" s="190"/>
      <c r="P53" s="190"/>
      <c r="Q53" s="190"/>
      <c r="R53" s="190"/>
      <c r="S53" s="190"/>
      <c r="T53" s="190"/>
      <c r="U53" s="190"/>
      <c r="V53" s="190"/>
      <c r="W53" s="190"/>
      <c r="X53" s="190"/>
      <c r="Y53" s="190"/>
      <c r="Z53" s="190"/>
    </row>
    <row r="54">
      <c r="A54" s="190"/>
      <c r="B54" s="215"/>
      <c r="J54" s="190"/>
      <c r="K54" s="190"/>
      <c r="L54" s="190"/>
      <c r="M54" s="190"/>
      <c r="N54" s="190"/>
      <c r="O54" s="190"/>
      <c r="P54" s="190"/>
      <c r="Q54" s="190"/>
      <c r="R54" s="190"/>
      <c r="S54" s="190"/>
      <c r="T54" s="190"/>
      <c r="U54" s="190"/>
      <c r="V54" s="190"/>
      <c r="W54" s="190"/>
      <c r="X54" s="190"/>
      <c r="Y54" s="190"/>
      <c r="Z54" s="190"/>
    </row>
    <row r="55">
      <c r="A55" s="190"/>
      <c r="B55" s="216"/>
      <c r="C55" s="196"/>
      <c r="D55" s="196"/>
      <c r="E55" s="193"/>
      <c r="F55" s="193"/>
      <c r="G55" s="193"/>
      <c r="H55" s="193"/>
      <c r="I55" s="190"/>
      <c r="J55" s="190"/>
      <c r="K55" s="190"/>
      <c r="L55" s="190"/>
      <c r="M55" s="190"/>
      <c r="N55" s="190"/>
      <c r="O55" s="190"/>
      <c r="P55" s="190"/>
      <c r="Q55" s="190"/>
      <c r="R55" s="190"/>
      <c r="S55" s="190"/>
      <c r="T55" s="190"/>
      <c r="U55" s="190"/>
      <c r="V55" s="190"/>
      <c r="W55" s="190"/>
      <c r="X55" s="190"/>
      <c r="Y55" s="190"/>
      <c r="Z55" s="190"/>
    </row>
    <row r="56">
      <c r="A56" s="190"/>
      <c r="B56" s="211"/>
      <c r="E56" s="193"/>
      <c r="F56" s="193"/>
      <c r="G56" s="193"/>
      <c r="H56" s="193"/>
      <c r="I56" s="190"/>
      <c r="J56" s="190"/>
      <c r="K56" s="190"/>
      <c r="L56" s="190"/>
      <c r="M56" s="190"/>
      <c r="N56" s="190"/>
      <c r="O56" s="190"/>
      <c r="P56" s="190"/>
      <c r="Q56" s="190"/>
      <c r="R56" s="190"/>
      <c r="S56" s="190"/>
      <c r="T56" s="190"/>
      <c r="U56" s="190"/>
      <c r="V56" s="190"/>
      <c r="W56" s="190"/>
      <c r="X56" s="190"/>
      <c r="Y56" s="190"/>
      <c r="Z56" s="190"/>
    </row>
    <row r="57">
      <c r="A57" s="190"/>
      <c r="B57" s="215"/>
      <c r="J57" s="190"/>
      <c r="K57" s="190"/>
      <c r="L57" s="190"/>
      <c r="M57" s="190"/>
      <c r="N57" s="190"/>
      <c r="O57" s="190"/>
      <c r="P57" s="190"/>
      <c r="Q57" s="190"/>
      <c r="R57" s="190"/>
      <c r="S57" s="190"/>
      <c r="T57" s="190"/>
      <c r="U57" s="190"/>
      <c r="V57" s="190"/>
      <c r="W57" s="190"/>
      <c r="X57" s="190"/>
      <c r="Y57" s="190"/>
      <c r="Z57" s="190"/>
    </row>
    <row r="58">
      <c r="A58" s="190"/>
      <c r="B58" s="215"/>
      <c r="H58" s="196"/>
      <c r="I58" s="196"/>
      <c r="J58" s="190"/>
      <c r="K58" s="190"/>
      <c r="L58" s="190"/>
      <c r="M58" s="190"/>
      <c r="N58" s="190"/>
      <c r="O58" s="190"/>
      <c r="P58" s="190"/>
      <c r="Q58" s="190"/>
      <c r="R58" s="190"/>
      <c r="S58" s="190"/>
      <c r="T58" s="190"/>
      <c r="U58" s="190"/>
      <c r="V58" s="190"/>
      <c r="W58" s="190"/>
      <c r="X58" s="190"/>
      <c r="Y58" s="190"/>
      <c r="Z58" s="190"/>
    </row>
    <row r="59">
      <c r="A59" s="190"/>
      <c r="B59" s="217"/>
      <c r="C59" s="193"/>
      <c r="D59" s="193"/>
      <c r="E59" s="193"/>
      <c r="F59" s="193"/>
      <c r="G59" s="193"/>
      <c r="H59" s="193"/>
      <c r="I59" s="190"/>
      <c r="J59" s="190"/>
      <c r="K59" s="190"/>
      <c r="L59" s="190"/>
      <c r="M59" s="190"/>
      <c r="N59" s="190"/>
      <c r="O59" s="190"/>
      <c r="P59" s="190"/>
      <c r="Q59" s="190"/>
      <c r="R59" s="190"/>
      <c r="S59" s="190"/>
      <c r="T59" s="190"/>
      <c r="U59" s="190"/>
      <c r="V59" s="190"/>
      <c r="W59" s="190"/>
      <c r="X59" s="190"/>
      <c r="Y59" s="190"/>
      <c r="Z59" s="190"/>
    </row>
    <row r="60">
      <c r="A60" s="190"/>
      <c r="B60" s="211"/>
      <c r="E60" s="193"/>
      <c r="F60" s="193"/>
      <c r="G60" s="193"/>
      <c r="H60" s="193"/>
      <c r="I60" s="190"/>
      <c r="J60" s="190"/>
      <c r="K60" s="190"/>
      <c r="L60" s="190"/>
      <c r="M60" s="190"/>
      <c r="N60" s="190"/>
      <c r="O60" s="190"/>
      <c r="P60" s="190"/>
      <c r="Q60" s="190"/>
      <c r="R60" s="190"/>
      <c r="S60" s="190"/>
      <c r="T60" s="190"/>
      <c r="U60" s="190"/>
      <c r="V60" s="190"/>
      <c r="W60" s="190"/>
      <c r="X60" s="190"/>
      <c r="Y60" s="190"/>
      <c r="Z60" s="190"/>
    </row>
    <row r="61">
      <c r="A61" s="190"/>
      <c r="B61" s="215"/>
      <c r="F61" s="196"/>
      <c r="G61" s="196"/>
      <c r="H61" s="196"/>
      <c r="I61" s="152"/>
      <c r="J61" s="190"/>
      <c r="K61" s="190"/>
      <c r="L61" s="190"/>
      <c r="M61" s="190"/>
      <c r="N61" s="190"/>
      <c r="O61" s="190"/>
      <c r="P61" s="190"/>
      <c r="Q61" s="190"/>
      <c r="R61" s="190"/>
      <c r="S61" s="190"/>
      <c r="T61" s="190"/>
      <c r="U61" s="190"/>
      <c r="V61" s="190"/>
      <c r="W61" s="190"/>
      <c r="X61" s="190"/>
      <c r="Y61" s="190"/>
      <c r="Z61" s="190"/>
    </row>
    <row r="62">
      <c r="A62" s="190"/>
      <c r="B62" s="215"/>
      <c r="J62" s="190"/>
      <c r="K62" s="190"/>
      <c r="L62" s="190"/>
      <c r="M62" s="190"/>
      <c r="N62" s="190"/>
      <c r="O62" s="190"/>
      <c r="P62" s="190"/>
      <c r="Q62" s="190"/>
      <c r="R62" s="190"/>
      <c r="S62" s="190"/>
      <c r="T62" s="190"/>
      <c r="U62" s="190"/>
      <c r="V62" s="190"/>
      <c r="W62" s="190"/>
      <c r="X62" s="190"/>
      <c r="Y62" s="190"/>
      <c r="Z62" s="190"/>
    </row>
    <row r="63">
      <c r="A63" s="190"/>
      <c r="B63" s="215"/>
      <c r="E63" s="196"/>
      <c r="F63" s="196"/>
      <c r="G63" s="196"/>
      <c r="H63" s="196"/>
      <c r="I63" s="152"/>
      <c r="J63" s="190"/>
      <c r="K63" s="190"/>
      <c r="L63" s="190"/>
      <c r="M63" s="190"/>
      <c r="N63" s="190"/>
      <c r="O63" s="190"/>
      <c r="P63" s="190"/>
      <c r="Q63" s="190"/>
      <c r="R63" s="190"/>
      <c r="S63" s="190"/>
      <c r="T63" s="190"/>
      <c r="U63" s="190"/>
      <c r="V63" s="190"/>
      <c r="W63" s="190"/>
      <c r="X63" s="190"/>
      <c r="Y63" s="190"/>
      <c r="Z63" s="190"/>
    </row>
    <row r="64">
      <c r="A64" s="190"/>
      <c r="B64" s="217"/>
      <c r="C64" s="193"/>
      <c r="D64" s="193"/>
      <c r="E64" s="193"/>
      <c r="F64" s="193"/>
      <c r="G64" s="193"/>
      <c r="H64" s="193"/>
      <c r="I64" s="190"/>
      <c r="J64" s="190"/>
      <c r="K64" s="190"/>
      <c r="L64" s="190"/>
      <c r="M64" s="190"/>
      <c r="N64" s="190"/>
      <c r="O64" s="190"/>
      <c r="P64" s="190"/>
      <c r="Q64" s="190"/>
      <c r="R64" s="190"/>
      <c r="S64" s="190"/>
      <c r="T64" s="190"/>
      <c r="U64" s="190"/>
      <c r="V64" s="190"/>
      <c r="W64" s="190"/>
      <c r="X64" s="190"/>
      <c r="Y64" s="190"/>
      <c r="Z64" s="190"/>
    </row>
    <row r="65">
      <c r="A65" s="190"/>
      <c r="B65" s="211"/>
      <c r="E65" s="196"/>
      <c r="F65" s="196"/>
      <c r="G65" s="196"/>
      <c r="H65" s="196"/>
      <c r="I65" s="152"/>
      <c r="J65" s="190"/>
      <c r="K65" s="190"/>
      <c r="L65" s="190"/>
      <c r="M65" s="190"/>
      <c r="N65" s="190"/>
      <c r="O65" s="190"/>
      <c r="P65" s="190"/>
      <c r="Q65" s="190"/>
      <c r="R65" s="190"/>
      <c r="S65" s="190"/>
      <c r="T65" s="190"/>
      <c r="U65" s="190"/>
      <c r="V65" s="190"/>
      <c r="W65" s="190"/>
      <c r="X65" s="190"/>
      <c r="Y65" s="190"/>
      <c r="Z65" s="190"/>
    </row>
    <row r="66">
      <c r="A66" s="190"/>
      <c r="B66" s="215"/>
      <c r="J66" s="190"/>
      <c r="K66" s="190"/>
      <c r="L66" s="190"/>
      <c r="M66" s="190"/>
      <c r="N66" s="190"/>
      <c r="O66" s="190"/>
      <c r="P66" s="190"/>
      <c r="Q66" s="190"/>
      <c r="R66" s="190"/>
      <c r="S66" s="190"/>
      <c r="T66" s="190"/>
      <c r="U66" s="190"/>
      <c r="V66" s="190"/>
      <c r="W66" s="190"/>
      <c r="X66" s="190"/>
      <c r="Y66" s="190"/>
      <c r="Z66" s="190"/>
    </row>
    <row r="67">
      <c r="A67" s="190"/>
      <c r="B67" s="215"/>
      <c r="E67" s="193"/>
      <c r="F67" s="193"/>
      <c r="G67" s="193"/>
      <c r="H67" s="193"/>
      <c r="I67" s="190"/>
      <c r="J67" s="190"/>
      <c r="K67" s="190"/>
      <c r="L67" s="190"/>
      <c r="M67" s="190"/>
      <c r="N67" s="190"/>
      <c r="O67" s="190"/>
      <c r="P67" s="190"/>
      <c r="Q67" s="190"/>
      <c r="R67" s="190"/>
      <c r="S67" s="190"/>
      <c r="T67" s="190"/>
      <c r="U67" s="190"/>
      <c r="V67" s="190"/>
      <c r="W67" s="190"/>
      <c r="X67" s="190"/>
      <c r="Y67" s="190"/>
      <c r="Z67" s="190"/>
    </row>
    <row r="68">
      <c r="A68" s="190"/>
      <c r="B68" s="216"/>
      <c r="C68" s="196"/>
      <c r="D68" s="196"/>
      <c r="E68" s="196"/>
      <c r="F68" s="196"/>
      <c r="G68" s="196"/>
      <c r="H68" s="196"/>
      <c r="I68" s="152"/>
      <c r="J68" s="190"/>
      <c r="K68" s="190"/>
      <c r="L68" s="190"/>
      <c r="M68" s="190"/>
      <c r="N68" s="190"/>
      <c r="O68" s="190"/>
      <c r="P68" s="190"/>
      <c r="Q68" s="190"/>
      <c r="R68" s="190"/>
      <c r="S68" s="190"/>
      <c r="T68" s="190"/>
      <c r="U68" s="190"/>
      <c r="V68" s="190"/>
      <c r="W68" s="190"/>
      <c r="X68" s="190"/>
      <c r="Y68" s="190"/>
      <c r="Z68" s="190"/>
    </row>
    <row r="69">
      <c r="A69" s="190"/>
      <c r="B69" s="211"/>
      <c r="E69" s="196"/>
      <c r="F69" s="196"/>
      <c r="G69" s="196"/>
      <c r="H69" s="196"/>
      <c r="I69" s="152"/>
      <c r="J69" s="190"/>
      <c r="K69" s="190"/>
      <c r="L69" s="190"/>
      <c r="M69" s="190"/>
      <c r="N69" s="190"/>
      <c r="O69" s="190"/>
      <c r="P69" s="190"/>
      <c r="Q69" s="190"/>
      <c r="R69" s="190"/>
      <c r="S69" s="190"/>
      <c r="T69" s="190"/>
      <c r="U69" s="190"/>
      <c r="V69" s="190"/>
      <c r="W69" s="190"/>
      <c r="X69" s="190"/>
      <c r="Y69" s="190"/>
      <c r="Z69" s="190"/>
    </row>
    <row r="70">
      <c r="A70" s="190"/>
      <c r="B70" s="215"/>
      <c r="H70" s="193"/>
      <c r="I70" s="193"/>
      <c r="J70" s="190"/>
      <c r="K70" s="190"/>
      <c r="L70" s="190"/>
      <c r="M70" s="190"/>
      <c r="N70" s="190"/>
      <c r="O70" s="190"/>
      <c r="P70" s="190"/>
      <c r="Q70" s="190"/>
      <c r="R70" s="190"/>
      <c r="S70" s="190"/>
      <c r="T70" s="190"/>
      <c r="U70" s="190"/>
      <c r="V70" s="190"/>
      <c r="W70" s="190"/>
      <c r="X70" s="190"/>
      <c r="Y70" s="190"/>
      <c r="Z70" s="190"/>
    </row>
    <row r="71">
      <c r="A71" s="190"/>
      <c r="B71" s="215"/>
      <c r="H71" s="196"/>
      <c r="I71" s="196"/>
      <c r="J71" s="190"/>
      <c r="K71" s="190"/>
      <c r="L71" s="190"/>
      <c r="M71" s="190"/>
      <c r="N71" s="190"/>
      <c r="O71" s="190"/>
      <c r="P71" s="190"/>
      <c r="Q71" s="190"/>
      <c r="R71" s="190"/>
      <c r="S71" s="190"/>
      <c r="T71" s="190"/>
      <c r="U71" s="190"/>
      <c r="V71" s="190"/>
      <c r="W71" s="190"/>
      <c r="X71" s="190"/>
      <c r="Y71" s="190"/>
      <c r="Z71" s="190"/>
    </row>
    <row r="72">
      <c r="A72" s="190"/>
      <c r="B72" s="216"/>
      <c r="C72" s="196"/>
      <c r="D72" s="196"/>
      <c r="E72" s="196"/>
      <c r="F72" s="196"/>
      <c r="G72" s="196"/>
      <c r="H72" s="193"/>
      <c r="I72" s="193"/>
      <c r="J72" s="190"/>
      <c r="K72" s="190"/>
      <c r="L72" s="190"/>
      <c r="M72" s="190"/>
      <c r="N72" s="190"/>
      <c r="O72" s="190"/>
      <c r="P72" s="190"/>
      <c r="Q72" s="190"/>
      <c r="R72" s="190"/>
      <c r="S72" s="190"/>
      <c r="T72" s="190"/>
      <c r="U72" s="190"/>
      <c r="V72" s="190"/>
      <c r="W72" s="190"/>
      <c r="X72" s="190"/>
      <c r="Y72" s="190"/>
      <c r="Z72" s="190"/>
    </row>
    <row r="73">
      <c r="A73" s="190"/>
      <c r="B73" s="211"/>
      <c r="E73" s="193"/>
      <c r="F73" s="193"/>
      <c r="G73" s="193"/>
      <c r="H73" s="193"/>
      <c r="I73" s="190"/>
      <c r="J73" s="190"/>
      <c r="K73" s="190"/>
      <c r="L73" s="190"/>
      <c r="M73" s="190"/>
      <c r="N73" s="190"/>
      <c r="O73" s="190"/>
      <c r="P73" s="190"/>
      <c r="Q73" s="190"/>
      <c r="R73" s="190"/>
      <c r="S73" s="190"/>
      <c r="T73" s="190"/>
      <c r="U73" s="190"/>
      <c r="V73" s="190"/>
      <c r="W73" s="190"/>
      <c r="X73" s="190"/>
      <c r="Y73" s="190"/>
      <c r="Z73" s="190"/>
    </row>
    <row r="74">
      <c r="A74" s="190"/>
      <c r="B74" s="215"/>
      <c r="J74" s="190"/>
      <c r="K74" s="190"/>
      <c r="L74" s="190"/>
      <c r="M74" s="190"/>
      <c r="N74" s="190"/>
      <c r="O74" s="190"/>
      <c r="P74" s="190"/>
      <c r="Q74" s="190"/>
      <c r="R74" s="190"/>
      <c r="S74" s="190"/>
      <c r="T74" s="190"/>
      <c r="U74" s="190"/>
      <c r="V74" s="190"/>
      <c r="W74" s="190"/>
      <c r="X74" s="190"/>
      <c r="Y74" s="190"/>
      <c r="Z74" s="190"/>
    </row>
    <row r="75">
      <c r="A75" s="190"/>
      <c r="B75" s="152"/>
      <c r="E75" s="196"/>
      <c r="F75" s="196"/>
      <c r="G75" s="196"/>
      <c r="H75" s="196"/>
      <c r="I75" s="215"/>
      <c r="J75" s="190"/>
      <c r="K75" s="190"/>
      <c r="L75" s="190"/>
      <c r="M75" s="190"/>
      <c r="N75" s="190"/>
      <c r="O75" s="190"/>
      <c r="P75" s="190"/>
      <c r="Q75" s="190"/>
      <c r="R75" s="190"/>
      <c r="S75" s="190"/>
      <c r="T75" s="190"/>
      <c r="U75" s="190"/>
      <c r="V75" s="190"/>
      <c r="W75" s="190"/>
      <c r="X75" s="190"/>
      <c r="Y75" s="190"/>
      <c r="Z75" s="190"/>
    </row>
    <row r="76">
      <c r="A76" s="190"/>
      <c r="B76" s="152"/>
      <c r="H76" s="193"/>
      <c r="I76" s="193"/>
      <c r="J76" s="190"/>
      <c r="K76" s="190"/>
      <c r="L76" s="190"/>
      <c r="M76" s="190"/>
      <c r="N76" s="190"/>
      <c r="O76" s="190"/>
      <c r="P76" s="190"/>
      <c r="Q76" s="190"/>
      <c r="R76" s="190"/>
      <c r="S76" s="190"/>
      <c r="T76" s="190"/>
      <c r="U76" s="190"/>
      <c r="V76" s="190"/>
      <c r="W76" s="190"/>
      <c r="X76" s="190"/>
      <c r="Y76" s="190"/>
      <c r="Z76" s="190"/>
    </row>
    <row r="77">
      <c r="A77" s="190"/>
      <c r="B77" s="152"/>
      <c r="E77" s="193"/>
      <c r="F77" s="193"/>
      <c r="G77" s="193"/>
      <c r="H77" s="193"/>
      <c r="I77" s="190"/>
      <c r="J77" s="190"/>
      <c r="K77" s="190"/>
      <c r="L77" s="190"/>
      <c r="M77" s="190"/>
      <c r="N77" s="190"/>
      <c r="O77" s="190"/>
      <c r="P77" s="190"/>
      <c r="Q77" s="190"/>
      <c r="R77" s="190"/>
      <c r="S77" s="190"/>
      <c r="T77" s="190"/>
      <c r="U77" s="190"/>
      <c r="V77" s="190"/>
      <c r="W77" s="190"/>
      <c r="X77" s="190"/>
      <c r="Y77" s="190"/>
      <c r="Z77" s="190"/>
    </row>
    <row r="78">
      <c r="A78" s="190"/>
      <c r="B78" s="216"/>
      <c r="C78" s="196"/>
      <c r="D78" s="196"/>
      <c r="E78" s="193"/>
      <c r="F78" s="193"/>
      <c r="G78" s="193"/>
      <c r="H78" s="193"/>
      <c r="I78" s="190"/>
      <c r="J78" s="190"/>
      <c r="K78" s="190"/>
      <c r="L78" s="190"/>
      <c r="M78" s="190"/>
      <c r="N78" s="190"/>
      <c r="O78" s="190"/>
      <c r="P78" s="190"/>
      <c r="Q78" s="190"/>
      <c r="R78" s="190"/>
      <c r="S78" s="190"/>
      <c r="T78" s="190"/>
      <c r="U78" s="190"/>
      <c r="V78" s="190"/>
      <c r="W78" s="190"/>
      <c r="X78" s="190"/>
      <c r="Y78" s="190"/>
      <c r="Z78" s="190"/>
    </row>
    <row r="79">
      <c r="A79" s="190"/>
      <c r="B79" s="211"/>
      <c r="E79" s="196"/>
      <c r="F79" s="196"/>
      <c r="G79" s="196"/>
      <c r="H79" s="196"/>
      <c r="I79" s="215"/>
      <c r="J79" s="190"/>
      <c r="K79" s="190"/>
      <c r="L79" s="190"/>
      <c r="M79" s="190"/>
      <c r="N79" s="190"/>
      <c r="O79" s="190"/>
      <c r="P79" s="190"/>
      <c r="Q79" s="190"/>
      <c r="R79" s="190"/>
      <c r="S79" s="190"/>
      <c r="T79" s="190"/>
      <c r="U79" s="190"/>
      <c r="V79" s="190"/>
      <c r="W79" s="190"/>
      <c r="X79" s="190"/>
      <c r="Y79" s="190"/>
      <c r="Z79" s="190"/>
    </row>
    <row r="80">
      <c r="A80" s="190"/>
      <c r="B80" s="215"/>
      <c r="J80" s="190"/>
      <c r="K80" s="190"/>
      <c r="L80" s="190"/>
      <c r="M80" s="190"/>
      <c r="N80" s="190"/>
      <c r="O80" s="190"/>
      <c r="P80" s="190"/>
      <c r="Q80" s="190"/>
      <c r="R80" s="190"/>
      <c r="S80" s="190"/>
      <c r="T80" s="190"/>
      <c r="U80" s="190"/>
      <c r="V80" s="190"/>
      <c r="W80" s="190"/>
      <c r="X80" s="190"/>
      <c r="Y80" s="190"/>
      <c r="Z80" s="190"/>
    </row>
    <row r="81">
      <c r="A81" s="190"/>
      <c r="B81" s="152"/>
      <c r="D81" s="196"/>
      <c r="E81" s="193"/>
      <c r="F81" s="193"/>
      <c r="G81" s="193"/>
      <c r="H81" s="193"/>
      <c r="I81" s="190"/>
      <c r="J81" s="190"/>
      <c r="K81" s="190"/>
      <c r="L81" s="190"/>
      <c r="M81" s="190"/>
      <c r="N81" s="190"/>
      <c r="O81" s="190"/>
      <c r="P81" s="190"/>
      <c r="Q81" s="190"/>
      <c r="R81" s="190"/>
      <c r="S81" s="190"/>
      <c r="T81" s="190"/>
      <c r="U81" s="190"/>
      <c r="V81" s="190"/>
      <c r="W81" s="190"/>
      <c r="X81" s="190"/>
      <c r="Y81" s="190"/>
      <c r="Z81" s="190"/>
    </row>
    <row r="82">
      <c r="A82" s="190"/>
      <c r="B82" s="152"/>
      <c r="C82" s="193"/>
      <c r="D82" s="193"/>
      <c r="E82" s="193"/>
      <c r="F82" s="193"/>
      <c r="G82" s="193"/>
      <c r="H82" s="193"/>
      <c r="I82" s="190"/>
      <c r="J82" s="190"/>
      <c r="K82" s="190"/>
      <c r="L82" s="190"/>
      <c r="M82" s="190"/>
      <c r="N82" s="190"/>
      <c r="O82" s="190"/>
      <c r="P82" s="190"/>
      <c r="Q82" s="190"/>
      <c r="R82" s="190"/>
      <c r="S82" s="190"/>
      <c r="T82" s="190"/>
      <c r="U82" s="190"/>
      <c r="V82" s="190"/>
      <c r="W82" s="190"/>
      <c r="X82" s="190"/>
      <c r="Y82" s="190"/>
      <c r="Z82" s="190"/>
    </row>
    <row r="83">
      <c r="A83" s="190"/>
      <c r="B83" s="152"/>
      <c r="E83" s="196"/>
      <c r="F83" s="196"/>
      <c r="G83" s="196"/>
      <c r="H83" s="196"/>
      <c r="I83" s="215"/>
      <c r="J83" s="190"/>
      <c r="K83" s="190"/>
      <c r="L83" s="190"/>
      <c r="M83" s="190"/>
      <c r="N83" s="190"/>
      <c r="O83" s="190"/>
      <c r="P83" s="190"/>
      <c r="Q83" s="190"/>
      <c r="R83" s="190"/>
      <c r="S83" s="190"/>
      <c r="T83" s="190"/>
      <c r="U83" s="190"/>
      <c r="V83" s="190"/>
      <c r="W83" s="190"/>
      <c r="X83" s="190"/>
      <c r="Y83" s="190"/>
      <c r="Z83" s="190"/>
    </row>
    <row r="84">
      <c r="A84" s="190"/>
      <c r="B84" s="152"/>
      <c r="E84" s="193"/>
      <c r="F84" s="193"/>
      <c r="G84" s="193"/>
      <c r="H84" s="193"/>
      <c r="I84" s="190"/>
      <c r="J84" s="190"/>
      <c r="K84" s="190"/>
      <c r="L84" s="190"/>
      <c r="M84" s="190"/>
      <c r="N84" s="190"/>
      <c r="O84" s="190"/>
      <c r="P84" s="190"/>
      <c r="Q84" s="190"/>
      <c r="R84" s="190"/>
      <c r="S84" s="190"/>
      <c r="T84" s="190"/>
      <c r="U84" s="190"/>
      <c r="V84" s="190"/>
      <c r="W84" s="190"/>
      <c r="X84" s="190"/>
      <c r="Y84" s="190"/>
      <c r="Z84" s="190"/>
    </row>
    <row r="85">
      <c r="A85" s="190"/>
      <c r="B85" s="218"/>
      <c r="J85" s="190"/>
      <c r="K85" s="190"/>
      <c r="L85" s="190"/>
      <c r="M85" s="190"/>
      <c r="N85" s="190"/>
      <c r="O85" s="190"/>
      <c r="P85" s="190"/>
      <c r="Q85" s="190"/>
      <c r="R85" s="190"/>
      <c r="S85" s="190"/>
      <c r="T85" s="190"/>
      <c r="U85" s="190"/>
      <c r="V85" s="190"/>
      <c r="W85" s="190"/>
      <c r="X85" s="190"/>
      <c r="Y85" s="190"/>
      <c r="Z85" s="190"/>
    </row>
    <row r="86">
      <c r="A86" s="190"/>
      <c r="B86" s="216"/>
      <c r="C86" s="196"/>
      <c r="D86" s="196"/>
      <c r="E86" s="193"/>
      <c r="F86" s="193"/>
      <c r="G86" s="193"/>
      <c r="H86" s="193"/>
      <c r="I86" s="190"/>
      <c r="J86" s="190"/>
      <c r="K86" s="190"/>
      <c r="L86" s="190"/>
      <c r="M86" s="190"/>
      <c r="N86" s="190"/>
      <c r="O86" s="190"/>
      <c r="P86" s="190"/>
      <c r="Q86" s="190"/>
      <c r="R86" s="190"/>
      <c r="S86" s="190"/>
      <c r="T86" s="190"/>
      <c r="U86" s="190"/>
      <c r="V86" s="190"/>
      <c r="W86" s="190"/>
      <c r="X86" s="190"/>
      <c r="Y86" s="190"/>
      <c r="Z86" s="190"/>
    </row>
    <row r="87">
      <c r="A87" s="190"/>
      <c r="B87" s="211"/>
      <c r="E87" s="193"/>
      <c r="F87" s="193"/>
      <c r="G87" s="193"/>
      <c r="H87" s="193"/>
      <c r="I87" s="190"/>
      <c r="J87" s="190"/>
      <c r="K87" s="190"/>
      <c r="L87" s="190"/>
      <c r="M87" s="190"/>
      <c r="N87" s="190"/>
      <c r="O87" s="190"/>
      <c r="P87" s="190"/>
      <c r="Q87" s="190"/>
      <c r="R87" s="190"/>
      <c r="S87" s="190"/>
      <c r="T87" s="190"/>
      <c r="U87" s="190"/>
      <c r="V87" s="190"/>
      <c r="W87" s="190"/>
      <c r="X87" s="190"/>
      <c r="Y87" s="190"/>
      <c r="Z87" s="190"/>
    </row>
    <row r="88">
      <c r="A88" s="190"/>
      <c r="B88" s="215"/>
      <c r="J88" s="190"/>
      <c r="K88" s="190"/>
      <c r="L88" s="190"/>
      <c r="M88" s="190"/>
      <c r="N88" s="190"/>
      <c r="O88" s="190"/>
      <c r="P88" s="190"/>
      <c r="Q88" s="190"/>
      <c r="R88" s="190"/>
      <c r="S88" s="190"/>
      <c r="T88" s="190"/>
      <c r="U88" s="190"/>
      <c r="V88" s="190"/>
      <c r="W88" s="190"/>
      <c r="X88" s="190"/>
      <c r="Y88" s="190"/>
      <c r="Z88" s="190"/>
    </row>
    <row r="89">
      <c r="A89" s="190"/>
      <c r="B89" s="215"/>
      <c r="E89" s="196"/>
      <c r="F89" s="196"/>
      <c r="G89" s="196"/>
      <c r="H89" s="196"/>
      <c r="I89" s="215"/>
      <c r="J89" s="190"/>
      <c r="K89" s="190"/>
      <c r="L89" s="190"/>
      <c r="M89" s="190"/>
      <c r="N89" s="190"/>
      <c r="O89" s="190"/>
      <c r="P89" s="190"/>
      <c r="Q89" s="190"/>
      <c r="R89" s="190"/>
      <c r="S89" s="190"/>
      <c r="T89" s="190"/>
      <c r="U89" s="190"/>
      <c r="V89" s="190"/>
      <c r="W89" s="190"/>
      <c r="X89" s="190"/>
      <c r="Y89" s="190"/>
      <c r="Z89" s="190"/>
    </row>
    <row r="90">
      <c r="A90" s="190"/>
      <c r="B90" s="217"/>
      <c r="C90" s="193"/>
      <c r="D90" s="193"/>
      <c r="E90" s="193"/>
      <c r="F90" s="193"/>
      <c r="G90" s="193"/>
      <c r="H90" s="193"/>
      <c r="I90" s="190"/>
      <c r="J90" s="190"/>
      <c r="K90" s="190"/>
      <c r="L90" s="190"/>
      <c r="M90" s="190"/>
      <c r="N90" s="190"/>
      <c r="O90" s="190"/>
      <c r="P90" s="190"/>
      <c r="Q90" s="190"/>
      <c r="R90" s="190"/>
      <c r="S90" s="190"/>
      <c r="T90" s="190"/>
      <c r="U90" s="190"/>
      <c r="V90" s="190"/>
      <c r="W90" s="190"/>
      <c r="X90" s="190"/>
      <c r="Y90" s="190"/>
      <c r="Z90" s="190"/>
    </row>
    <row r="91">
      <c r="A91" s="190"/>
      <c r="B91" s="211"/>
      <c r="C91" s="196"/>
      <c r="D91" s="196"/>
      <c r="E91" s="196"/>
      <c r="F91" s="196"/>
      <c r="G91" s="196"/>
      <c r="H91" s="196"/>
      <c r="I91" s="215"/>
      <c r="J91" s="190"/>
      <c r="K91" s="190"/>
      <c r="L91" s="190"/>
      <c r="M91" s="190"/>
      <c r="N91" s="190"/>
      <c r="O91" s="190"/>
      <c r="P91" s="190"/>
      <c r="Q91" s="190"/>
      <c r="R91" s="190"/>
      <c r="S91" s="190"/>
      <c r="T91" s="190"/>
      <c r="U91" s="190"/>
      <c r="V91" s="190"/>
      <c r="W91" s="190"/>
      <c r="X91" s="190"/>
      <c r="Y91" s="190"/>
      <c r="Z91" s="190"/>
    </row>
    <row r="92">
      <c r="A92" s="190"/>
      <c r="B92" s="215"/>
      <c r="E92" s="196"/>
      <c r="F92" s="196"/>
      <c r="G92" s="196"/>
      <c r="H92" s="196"/>
      <c r="I92" s="215"/>
      <c r="J92" s="190"/>
      <c r="K92" s="190"/>
      <c r="L92" s="190"/>
      <c r="M92" s="190"/>
      <c r="N92" s="190"/>
      <c r="O92" s="190"/>
      <c r="P92" s="190"/>
      <c r="Q92" s="190"/>
      <c r="R92" s="190"/>
      <c r="S92" s="190"/>
      <c r="T92" s="190"/>
      <c r="U92" s="190"/>
      <c r="V92" s="190"/>
      <c r="W92" s="190"/>
      <c r="X92" s="190"/>
      <c r="Y92" s="190"/>
      <c r="Z92" s="190"/>
    </row>
    <row r="93">
      <c r="A93" s="190"/>
      <c r="B93" s="152"/>
      <c r="C93" s="196"/>
      <c r="D93" s="169"/>
      <c r="E93" s="196"/>
      <c r="F93" s="196"/>
      <c r="G93" s="196"/>
      <c r="H93" s="196"/>
      <c r="I93" s="215"/>
      <c r="J93" s="190"/>
      <c r="K93" s="190"/>
      <c r="L93" s="190"/>
      <c r="M93" s="190"/>
      <c r="N93" s="190"/>
      <c r="O93" s="190"/>
      <c r="P93" s="190"/>
      <c r="Q93" s="190"/>
      <c r="R93" s="190"/>
      <c r="S93" s="190"/>
      <c r="T93" s="190"/>
      <c r="U93" s="190"/>
      <c r="V93" s="190"/>
      <c r="W93" s="190"/>
      <c r="X93" s="190"/>
      <c r="Y93" s="190"/>
      <c r="Z93" s="190"/>
    </row>
    <row r="94">
      <c r="A94" s="190"/>
      <c r="B94" s="152"/>
      <c r="D94" s="169"/>
      <c r="H94" s="193"/>
      <c r="I94" s="193"/>
      <c r="J94" s="190"/>
      <c r="K94" s="190"/>
      <c r="L94" s="190"/>
      <c r="M94" s="190"/>
      <c r="N94" s="190"/>
      <c r="O94" s="190"/>
      <c r="P94" s="190"/>
      <c r="Q94" s="190"/>
      <c r="R94" s="190"/>
      <c r="S94" s="190"/>
      <c r="T94" s="190"/>
      <c r="U94" s="190"/>
      <c r="V94" s="190"/>
      <c r="W94" s="190"/>
      <c r="X94" s="190"/>
      <c r="Y94" s="190"/>
      <c r="Z94" s="190"/>
    </row>
    <row r="95">
      <c r="A95" s="190"/>
      <c r="B95" s="152"/>
      <c r="C95" s="196"/>
      <c r="D95" s="169"/>
      <c r="J95" s="190"/>
      <c r="K95" s="190"/>
      <c r="L95" s="190"/>
      <c r="M95" s="190"/>
      <c r="N95" s="190"/>
      <c r="O95" s="190"/>
      <c r="P95" s="190"/>
      <c r="Q95" s="190"/>
      <c r="R95" s="190"/>
      <c r="S95" s="190"/>
      <c r="T95" s="190"/>
      <c r="U95" s="190"/>
      <c r="V95" s="190"/>
      <c r="W95" s="190"/>
      <c r="X95" s="190"/>
      <c r="Y95" s="190"/>
      <c r="Z95" s="190"/>
    </row>
    <row r="96">
      <c r="A96" s="190"/>
      <c r="B96" s="218"/>
      <c r="J96" s="190"/>
      <c r="K96" s="190"/>
      <c r="L96" s="190"/>
      <c r="M96" s="190"/>
      <c r="N96" s="190"/>
      <c r="O96" s="190"/>
      <c r="P96" s="190"/>
      <c r="Q96" s="190"/>
      <c r="R96" s="190"/>
      <c r="S96" s="190"/>
      <c r="T96" s="190"/>
      <c r="U96" s="190"/>
      <c r="V96" s="190"/>
      <c r="W96" s="190"/>
      <c r="X96" s="190"/>
      <c r="Y96" s="190"/>
      <c r="Z96" s="190"/>
    </row>
    <row r="97">
      <c r="A97" s="190"/>
      <c r="B97" s="217"/>
      <c r="C97" s="193"/>
      <c r="D97" s="193"/>
      <c r="E97" s="193"/>
      <c r="F97" s="193"/>
      <c r="G97" s="193"/>
      <c r="H97" s="193"/>
      <c r="I97" s="190"/>
      <c r="J97" s="190"/>
      <c r="K97" s="190"/>
      <c r="L97" s="190"/>
      <c r="M97" s="190"/>
      <c r="N97" s="190"/>
      <c r="O97" s="190"/>
      <c r="P97" s="190"/>
      <c r="Q97" s="190"/>
      <c r="R97" s="190"/>
      <c r="S97" s="190"/>
      <c r="T97" s="190"/>
      <c r="U97" s="190"/>
      <c r="V97" s="190"/>
      <c r="W97" s="190"/>
      <c r="X97" s="190"/>
      <c r="Y97" s="190"/>
      <c r="Z97" s="190"/>
    </row>
    <row r="98">
      <c r="A98" s="190"/>
      <c r="B98" s="211"/>
      <c r="E98" s="193"/>
      <c r="F98" s="193"/>
      <c r="G98" s="193"/>
      <c r="H98" s="193"/>
      <c r="I98" s="190"/>
      <c r="J98" s="190"/>
      <c r="K98" s="190"/>
      <c r="L98" s="190"/>
      <c r="M98" s="190"/>
      <c r="N98" s="190"/>
      <c r="O98" s="190"/>
      <c r="P98" s="190"/>
      <c r="Q98" s="190"/>
      <c r="R98" s="190"/>
      <c r="S98" s="190"/>
      <c r="T98" s="190"/>
      <c r="U98" s="190"/>
      <c r="V98" s="190"/>
      <c r="W98" s="190"/>
      <c r="X98" s="190"/>
      <c r="Y98" s="190"/>
      <c r="Z98" s="190"/>
    </row>
    <row r="99">
      <c r="A99" s="190"/>
      <c r="B99" s="215"/>
      <c r="E99" s="196"/>
      <c r="F99" s="196"/>
      <c r="G99" s="196"/>
      <c r="H99" s="196"/>
      <c r="I99" s="215"/>
      <c r="J99" s="190"/>
      <c r="K99" s="190"/>
      <c r="L99" s="190"/>
      <c r="M99" s="190"/>
      <c r="N99" s="190"/>
      <c r="O99" s="190"/>
      <c r="P99" s="190"/>
      <c r="Q99" s="190"/>
      <c r="R99" s="190"/>
      <c r="S99" s="190"/>
      <c r="T99" s="190"/>
      <c r="U99" s="190"/>
      <c r="V99" s="190"/>
      <c r="W99" s="190"/>
      <c r="X99" s="190"/>
      <c r="Y99" s="190"/>
      <c r="Z99" s="190"/>
    </row>
    <row r="100">
      <c r="A100" s="190"/>
      <c r="B100" s="215"/>
      <c r="I100" s="196"/>
      <c r="J100" s="190"/>
      <c r="K100" s="190"/>
      <c r="L100" s="190"/>
      <c r="M100" s="190"/>
      <c r="N100" s="190"/>
      <c r="O100" s="190"/>
      <c r="P100" s="190"/>
      <c r="Q100" s="190"/>
      <c r="R100" s="190"/>
      <c r="S100" s="190"/>
      <c r="T100" s="190"/>
      <c r="U100" s="190"/>
      <c r="V100" s="190"/>
      <c r="W100" s="190"/>
      <c r="X100" s="190"/>
      <c r="Y100" s="190"/>
      <c r="Z100" s="190"/>
    </row>
    <row r="101">
      <c r="A101" s="190"/>
      <c r="B101" s="215"/>
      <c r="J101" s="190"/>
      <c r="K101" s="190"/>
      <c r="L101" s="190"/>
      <c r="M101" s="190"/>
      <c r="N101" s="190"/>
      <c r="O101" s="190"/>
      <c r="P101" s="190"/>
      <c r="Q101" s="190"/>
      <c r="R101" s="190"/>
      <c r="S101" s="190"/>
      <c r="T101" s="190"/>
      <c r="U101" s="190"/>
      <c r="V101" s="190"/>
      <c r="W101" s="190"/>
      <c r="X101" s="190"/>
      <c r="Y101" s="190"/>
      <c r="Z101" s="190"/>
    </row>
    <row r="102">
      <c r="A102" s="190"/>
      <c r="B102" s="215"/>
      <c r="J102" s="190"/>
      <c r="K102" s="190"/>
      <c r="L102" s="190"/>
      <c r="M102" s="190"/>
      <c r="N102" s="190"/>
      <c r="O102" s="190"/>
      <c r="P102" s="190"/>
      <c r="Q102" s="190"/>
      <c r="R102" s="190"/>
      <c r="S102" s="190"/>
      <c r="T102" s="190"/>
      <c r="U102" s="190"/>
      <c r="V102" s="190"/>
      <c r="W102" s="190"/>
      <c r="X102" s="190"/>
      <c r="Y102" s="190"/>
      <c r="Z102" s="190"/>
    </row>
    <row r="103">
      <c r="A103" s="190"/>
      <c r="B103" s="216"/>
      <c r="C103" s="196"/>
      <c r="D103" s="196"/>
      <c r="E103" s="196"/>
      <c r="F103" s="196"/>
      <c r="G103" s="196"/>
      <c r="H103" s="196"/>
      <c r="I103" s="215"/>
      <c r="J103" s="190"/>
      <c r="K103" s="190"/>
      <c r="L103" s="190"/>
      <c r="M103" s="190"/>
      <c r="N103" s="190"/>
      <c r="O103" s="190"/>
      <c r="P103" s="190"/>
      <c r="Q103" s="190"/>
      <c r="R103" s="190"/>
      <c r="S103" s="190"/>
      <c r="T103" s="190"/>
      <c r="U103" s="190"/>
      <c r="V103" s="190"/>
      <c r="W103" s="190"/>
      <c r="X103" s="190"/>
      <c r="Y103" s="190"/>
      <c r="Z103" s="190"/>
    </row>
    <row r="104">
      <c r="A104" s="190"/>
      <c r="B104" s="211"/>
      <c r="E104" s="196"/>
      <c r="F104" s="196"/>
      <c r="G104" s="196"/>
      <c r="H104" s="196"/>
      <c r="I104" s="215"/>
      <c r="J104" s="190"/>
      <c r="K104" s="190"/>
      <c r="L104" s="190"/>
      <c r="M104" s="190"/>
      <c r="N104" s="190"/>
      <c r="O104" s="190"/>
      <c r="P104" s="190"/>
      <c r="Q104" s="190"/>
      <c r="R104" s="190"/>
      <c r="S104" s="190"/>
      <c r="T104" s="190"/>
      <c r="U104" s="190"/>
      <c r="V104" s="190"/>
      <c r="W104" s="190"/>
      <c r="X104" s="190"/>
      <c r="Y104" s="190"/>
      <c r="Z104" s="190"/>
    </row>
    <row r="105">
      <c r="A105" s="190"/>
      <c r="B105" s="219"/>
      <c r="H105" s="193"/>
      <c r="I105" s="193"/>
      <c r="J105" s="190"/>
      <c r="K105" s="190"/>
      <c r="L105" s="190"/>
      <c r="M105" s="190"/>
      <c r="N105" s="190"/>
      <c r="O105" s="190"/>
      <c r="P105" s="190"/>
      <c r="Q105" s="190"/>
      <c r="R105" s="190"/>
      <c r="S105" s="190"/>
      <c r="T105" s="190"/>
      <c r="U105" s="190"/>
      <c r="V105" s="190"/>
      <c r="W105" s="190"/>
      <c r="X105" s="190"/>
      <c r="Y105" s="190"/>
      <c r="Z105" s="190"/>
    </row>
    <row r="106">
      <c r="A106" s="190"/>
      <c r="B106" s="193"/>
      <c r="C106" s="193"/>
      <c r="D106" s="193"/>
      <c r="E106" s="193"/>
      <c r="F106" s="193"/>
      <c r="G106" s="193"/>
      <c r="H106" s="193"/>
      <c r="I106" s="190"/>
      <c r="J106" s="190"/>
      <c r="K106" s="190"/>
      <c r="L106" s="190"/>
      <c r="M106" s="190"/>
      <c r="N106" s="190"/>
      <c r="O106" s="190"/>
      <c r="P106" s="190"/>
      <c r="Q106" s="190"/>
      <c r="R106" s="190"/>
      <c r="S106" s="190"/>
      <c r="T106" s="190"/>
      <c r="U106" s="190"/>
      <c r="V106" s="190"/>
      <c r="W106" s="190"/>
      <c r="X106" s="190"/>
      <c r="Y106" s="190"/>
      <c r="Z106" s="190"/>
    </row>
    <row r="107">
      <c r="A107" s="190"/>
      <c r="B107" s="130"/>
      <c r="C107" s="130"/>
      <c r="D107" s="220"/>
      <c r="E107" s="196"/>
      <c r="F107" s="196"/>
      <c r="G107" s="196"/>
      <c r="H107" s="196"/>
      <c r="I107" s="215"/>
      <c r="J107" s="190"/>
      <c r="K107" s="190"/>
      <c r="L107" s="190"/>
      <c r="M107" s="190"/>
      <c r="N107" s="190"/>
      <c r="O107" s="190"/>
      <c r="P107" s="190"/>
      <c r="Q107" s="190"/>
      <c r="R107" s="190"/>
      <c r="S107" s="190"/>
      <c r="T107" s="190"/>
      <c r="U107" s="190"/>
      <c r="V107" s="190"/>
      <c r="W107" s="190"/>
      <c r="X107" s="190"/>
      <c r="Y107" s="190"/>
      <c r="Z107" s="190"/>
    </row>
    <row r="108">
      <c r="A108" s="190"/>
      <c r="B108" s="196"/>
      <c r="C108" s="196"/>
      <c r="D108" s="196"/>
      <c r="E108" s="196"/>
      <c r="F108" s="196"/>
      <c r="G108" s="196"/>
      <c r="H108" s="196"/>
      <c r="I108" s="215"/>
      <c r="J108" s="190"/>
      <c r="K108" s="190"/>
      <c r="L108" s="190"/>
      <c r="M108" s="190"/>
      <c r="N108" s="190"/>
      <c r="O108" s="190"/>
      <c r="P108" s="190"/>
      <c r="Q108" s="190"/>
      <c r="R108" s="190"/>
      <c r="S108" s="190"/>
      <c r="T108" s="190"/>
      <c r="U108" s="190"/>
      <c r="V108" s="190"/>
      <c r="W108" s="190"/>
      <c r="X108" s="190"/>
      <c r="Y108" s="190"/>
      <c r="Z108" s="190"/>
    </row>
    <row r="109">
      <c r="A109" s="190"/>
      <c r="B109" s="193"/>
      <c r="C109" s="193"/>
      <c r="D109" s="193"/>
      <c r="E109" s="193"/>
      <c r="F109" s="193"/>
      <c r="G109" s="193"/>
      <c r="H109" s="193"/>
      <c r="I109" s="190"/>
      <c r="J109" s="190"/>
      <c r="K109" s="190"/>
      <c r="L109" s="190"/>
      <c r="M109" s="190"/>
      <c r="N109" s="190"/>
      <c r="O109" s="190"/>
      <c r="P109" s="190"/>
      <c r="Q109" s="190"/>
      <c r="R109" s="190"/>
      <c r="S109" s="190"/>
      <c r="T109" s="190"/>
      <c r="U109" s="190"/>
      <c r="V109" s="190"/>
      <c r="W109" s="190"/>
      <c r="X109" s="190"/>
      <c r="Y109" s="190"/>
      <c r="Z109" s="190"/>
    </row>
    <row r="110">
      <c r="A110" s="190"/>
      <c r="B110" s="196"/>
      <c r="C110" s="196"/>
      <c r="D110" s="196"/>
      <c r="E110" s="193"/>
      <c r="F110" s="193"/>
      <c r="G110" s="193"/>
      <c r="H110" s="193"/>
      <c r="I110" s="190"/>
      <c r="J110" s="190"/>
      <c r="K110" s="190"/>
      <c r="L110" s="190"/>
      <c r="M110" s="190"/>
      <c r="N110" s="190"/>
      <c r="O110" s="190"/>
      <c r="P110" s="190"/>
      <c r="Q110" s="190"/>
      <c r="R110" s="190"/>
      <c r="S110" s="190"/>
      <c r="T110" s="190"/>
      <c r="U110" s="190"/>
      <c r="V110" s="190"/>
      <c r="W110" s="190"/>
      <c r="X110" s="190"/>
      <c r="Y110" s="190"/>
      <c r="Z110" s="190"/>
    </row>
    <row r="111">
      <c r="A111" s="190"/>
      <c r="B111" s="196"/>
      <c r="C111" s="196"/>
      <c r="D111" s="196"/>
      <c r="E111" s="196"/>
      <c r="F111" s="196"/>
      <c r="G111" s="196"/>
      <c r="H111" s="196"/>
      <c r="I111" s="215"/>
      <c r="J111" s="190"/>
      <c r="K111" s="190"/>
      <c r="L111" s="190"/>
      <c r="M111" s="190"/>
      <c r="N111" s="190"/>
      <c r="O111" s="190"/>
      <c r="P111" s="190"/>
      <c r="Q111" s="190"/>
      <c r="R111" s="190"/>
      <c r="S111" s="190"/>
      <c r="T111" s="190"/>
      <c r="U111" s="190"/>
      <c r="V111" s="190"/>
      <c r="W111" s="190"/>
      <c r="X111" s="190"/>
      <c r="Y111" s="190"/>
      <c r="Z111" s="190"/>
    </row>
    <row r="112">
      <c r="A112" s="190"/>
      <c r="B112" s="215"/>
      <c r="E112" s="193"/>
      <c r="F112" s="193"/>
      <c r="G112" s="193"/>
      <c r="H112" s="193"/>
      <c r="I112" s="190"/>
      <c r="J112" s="190"/>
      <c r="K112" s="190"/>
      <c r="L112" s="190"/>
      <c r="M112" s="190"/>
      <c r="N112" s="190"/>
      <c r="O112" s="190"/>
      <c r="P112" s="190"/>
      <c r="Q112" s="190"/>
      <c r="R112" s="190"/>
      <c r="S112" s="190"/>
      <c r="T112" s="190"/>
      <c r="U112" s="190"/>
      <c r="V112" s="190"/>
      <c r="W112" s="190"/>
      <c r="X112" s="190"/>
      <c r="Y112" s="190"/>
      <c r="Z112" s="190"/>
    </row>
    <row r="113">
      <c r="A113" s="190"/>
      <c r="B113" s="130"/>
      <c r="C113" s="196"/>
      <c r="D113" s="196"/>
      <c r="E113" s="193"/>
      <c r="F113" s="193"/>
      <c r="G113" s="193"/>
      <c r="H113" s="193"/>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sheetData>
  <mergeCells count="60">
    <mergeCell ref="B84:D84"/>
    <mergeCell ref="B85:I85"/>
    <mergeCell ref="B87:D87"/>
    <mergeCell ref="B88:I88"/>
    <mergeCell ref="B89:D89"/>
    <mergeCell ref="B92:D92"/>
    <mergeCell ref="B94:C94"/>
    <mergeCell ref="D94:G94"/>
    <mergeCell ref="D95:I95"/>
    <mergeCell ref="B96:I96"/>
    <mergeCell ref="B98:D98"/>
    <mergeCell ref="B100:H100"/>
    <mergeCell ref="B101:I101"/>
    <mergeCell ref="B102:I102"/>
    <mergeCell ref="B1:I1"/>
    <mergeCell ref="B22:I22"/>
    <mergeCell ref="B24:I24"/>
    <mergeCell ref="B25:I25"/>
    <mergeCell ref="B27:I27"/>
    <mergeCell ref="B29:I29"/>
    <mergeCell ref="B30:I30"/>
    <mergeCell ref="B32:I32"/>
    <mergeCell ref="B41:D41"/>
    <mergeCell ref="B42:I42"/>
    <mergeCell ref="B43:I43"/>
    <mergeCell ref="B44:I44"/>
    <mergeCell ref="B45:I45"/>
    <mergeCell ref="B47:D47"/>
    <mergeCell ref="B48:D48"/>
    <mergeCell ref="B49:C49"/>
    <mergeCell ref="B50:C50"/>
    <mergeCell ref="B52:D52"/>
    <mergeCell ref="B53:I53"/>
    <mergeCell ref="B54:I54"/>
    <mergeCell ref="B56:D56"/>
    <mergeCell ref="B57:I57"/>
    <mergeCell ref="B58:G58"/>
    <mergeCell ref="B60:D60"/>
    <mergeCell ref="B61:E61"/>
    <mergeCell ref="B62:I62"/>
    <mergeCell ref="B63:D63"/>
    <mergeCell ref="B66:I66"/>
    <mergeCell ref="B65:D65"/>
    <mergeCell ref="B67:D67"/>
    <mergeCell ref="B69:D69"/>
    <mergeCell ref="B70:G70"/>
    <mergeCell ref="B71:G71"/>
    <mergeCell ref="B73:D73"/>
    <mergeCell ref="B74:I74"/>
    <mergeCell ref="B75:D75"/>
    <mergeCell ref="B76:G76"/>
    <mergeCell ref="B77:D77"/>
    <mergeCell ref="B79:D79"/>
    <mergeCell ref="B80:I80"/>
    <mergeCell ref="B81:C81"/>
    <mergeCell ref="B83:D83"/>
    <mergeCell ref="B99:D99"/>
    <mergeCell ref="B104:D104"/>
    <mergeCell ref="B105:G105"/>
    <mergeCell ref="B112:D11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38"/>
    <col customWidth="1" min="7" max="7" width="2.25"/>
    <col customWidth="1" min="10" max="10" width="2.63"/>
  </cols>
  <sheetData>
    <row r="1">
      <c r="A1" s="221"/>
      <c r="B1" s="191"/>
      <c r="C1" s="191"/>
      <c r="D1" s="191"/>
      <c r="E1" s="191"/>
      <c r="F1" s="191"/>
      <c r="G1" s="191"/>
      <c r="H1" s="191"/>
      <c r="I1" s="191"/>
      <c r="J1" s="221"/>
      <c r="K1" s="221"/>
      <c r="L1" s="221"/>
      <c r="M1" s="221"/>
      <c r="N1" s="221"/>
      <c r="O1" s="221"/>
      <c r="P1" s="221"/>
      <c r="Q1" s="221"/>
      <c r="R1" s="221"/>
      <c r="S1" s="221"/>
      <c r="T1" s="221"/>
      <c r="U1" s="221"/>
      <c r="V1" s="221"/>
      <c r="W1" s="221"/>
      <c r="X1" s="221"/>
      <c r="Y1" s="221"/>
      <c r="Z1" s="221"/>
    </row>
    <row r="2">
      <c r="A2" s="221"/>
      <c r="B2" s="191" t="s">
        <v>635</v>
      </c>
      <c r="J2" s="221"/>
      <c r="K2" s="221"/>
      <c r="L2" s="221"/>
      <c r="M2" s="221"/>
      <c r="N2" s="221"/>
      <c r="O2" s="221"/>
      <c r="P2" s="221"/>
      <c r="Q2" s="221"/>
      <c r="R2" s="221"/>
      <c r="S2" s="221"/>
      <c r="T2" s="221"/>
      <c r="U2" s="221"/>
      <c r="V2" s="221"/>
      <c r="W2" s="221"/>
      <c r="X2" s="221"/>
      <c r="Y2" s="221"/>
      <c r="Z2" s="221"/>
    </row>
    <row r="3">
      <c r="A3" s="221"/>
      <c r="B3" s="222"/>
      <c r="C3" s="223"/>
      <c r="D3" s="223"/>
      <c r="E3" s="223"/>
      <c r="F3" s="223"/>
      <c r="G3" s="223"/>
      <c r="H3" s="223"/>
      <c r="I3" s="223"/>
      <c r="J3" s="221"/>
      <c r="K3" s="221"/>
      <c r="L3" s="221"/>
      <c r="M3" s="221"/>
      <c r="N3" s="221"/>
      <c r="O3" s="221"/>
      <c r="P3" s="221"/>
      <c r="Q3" s="221"/>
      <c r="R3" s="221"/>
      <c r="S3" s="221"/>
      <c r="T3" s="221"/>
      <c r="U3" s="221"/>
      <c r="V3" s="221"/>
      <c r="W3" s="221"/>
      <c r="X3" s="221"/>
      <c r="Y3" s="221"/>
      <c r="Z3" s="221"/>
    </row>
    <row r="4">
      <c r="A4" s="221"/>
      <c r="B4" s="224" t="s">
        <v>165</v>
      </c>
      <c r="C4" s="225"/>
      <c r="D4" s="225"/>
      <c r="E4" s="223"/>
      <c r="F4" s="223"/>
      <c r="G4" s="223"/>
      <c r="H4" s="223"/>
      <c r="I4" s="223"/>
      <c r="J4" s="221"/>
      <c r="K4" s="221"/>
      <c r="L4" s="221"/>
      <c r="M4" s="221"/>
      <c r="N4" s="221"/>
      <c r="O4" s="221"/>
      <c r="P4" s="221"/>
      <c r="Q4" s="221"/>
      <c r="R4" s="221"/>
      <c r="S4" s="221"/>
      <c r="T4" s="221"/>
      <c r="U4" s="221"/>
      <c r="V4" s="221"/>
      <c r="W4" s="221"/>
      <c r="X4" s="221"/>
      <c r="Y4" s="221"/>
      <c r="Z4" s="221"/>
    </row>
    <row r="5">
      <c r="A5" s="221"/>
      <c r="B5" s="226"/>
      <c r="C5" s="226"/>
      <c r="D5" s="226"/>
      <c r="E5" s="226"/>
      <c r="F5" s="226"/>
      <c r="G5" s="226"/>
      <c r="H5" s="226"/>
      <c r="I5" s="226"/>
      <c r="J5" s="221"/>
      <c r="K5" s="221"/>
      <c r="L5" s="221"/>
      <c r="M5" s="221"/>
      <c r="N5" s="221"/>
      <c r="O5" s="221"/>
      <c r="P5" s="221"/>
      <c r="Q5" s="221"/>
      <c r="R5" s="221"/>
      <c r="S5" s="221"/>
      <c r="T5" s="221"/>
      <c r="U5" s="221"/>
      <c r="V5" s="221"/>
      <c r="W5" s="221"/>
      <c r="X5" s="221"/>
      <c r="Y5" s="221"/>
      <c r="Z5" s="221"/>
    </row>
    <row r="6">
      <c r="A6" s="221"/>
      <c r="B6" s="227" t="str">
        <f>"1. "&amp;FillIn!H4&amp;", gevestigd aan de "&amp;FillIn!H6&amp;", "&amp;FillIn!H7&amp;" "&amp;FillIn!H8&amp;", rechtsgeldig vertegenwoordigd door haar directeur, "&amp;FillIn!M5&amp;", hierna te noemen Opdrachtgever oftewel de transportonderneming,"</f>
        <v>1. DeNeX Uitzendbureau B.V., gevestigd aan de Gebroken Meeldijk 66, Unit 1.15, 2991 VD Barendrecht, rechtsgeldig vertegenwoordigd door haar directeur, de heer D.O. Ibryam, hierna te noemen Opdrachtgever oftewel de transportonderneming,</v>
      </c>
      <c r="J6" s="221"/>
      <c r="K6" s="221"/>
      <c r="L6" s="221"/>
      <c r="M6" s="221"/>
      <c r="N6" s="221"/>
      <c r="O6" s="221"/>
      <c r="P6" s="221"/>
      <c r="Q6" s="221"/>
      <c r="R6" s="221"/>
      <c r="S6" s="221"/>
      <c r="T6" s="221"/>
      <c r="U6" s="221"/>
      <c r="V6" s="221"/>
      <c r="W6" s="221"/>
      <c r="X6" s="221"/>
      <c r="Y6" s="221"/>
      <c r="Z6" s="221"/>
    </row>
    <row r="7">
      <c r="A7" s="221"/>
      <c r="B7" s="226"/>
      <c r="C7" s="226"/>
      <c r="D7" s="226"/>
      <c r="E7" s="222"/>
      <c r="F7" s="226"/>
      <c r="G7" s="226"/>
      <c r="H7" s="226"/>
      <c r="I7" s="222"/>
      <c r="J7" s="221"/>
      <c r="K7" s="221"/>
      <c r="L7" s="221"/>
      <c r="M7" s="221"/>
      <c r="N7" s="221"/>
      <c r="O7" s="221"/>
      <c r="P7" s="221"/>
      <c r="Q7" s="221"/>
      <c r="R7" s="221"/>
      <c r="S7" s="221"/>
      <c r="T7" s="221"/>
      <c r="U7" s="221"/>
      <c r="V7" s="221"/>
      <c r="W7" s="221"/>
      <c r="X7" s="221"/>
      <c r="Y7" s="221"/>
      <c r="Z7" s="221"/>
    </row>
    <row r="8">
      <c r="A8" s="221"/>
      <c r="B8" s="224" t="s">
        <v>621</v>
      </c>
      <c r="C8" s="228"/>
      <c r="D8" s="228"/>
      <c r="E8" s="228"/>
      <c r="F8" s="228"/>
      <c r="G8" s="228"/>
      <c r="H8" s="228"/>
      <c r="I8" s="228"/>
      <c r="J8" s="221"/>
      <c r="K8" s="221"/>
      <c r="L8" s="221"/>
      <c r="M8" s="221"/>
      <c r="N8" s="221"/>
      <c r="O8" s="221"/>
      <c r="P8" s="221"/>
      <c r="Q8" s="221"/>
      <c r="R8" s="221"/>
      <c r="S8" s="221"/>
      <c r="T8" s="221"/>
      <c r="U8" s="221"/>
      <c r="V8" s="221"/>
      <c r="W8" s="221"/>
      <c r="X8" s="221"/>
      <c r="Y8" s="221"/>
      <c r="Z8" s="221"/>
    </row>
    <row r="9">
      <c r="A9" s="221"/>
      <c r="B9" s="229"/>
      <c r="C9" s="226"/>
      <c r="D9" s="226"/>
      <c r="E9" s="222"/>
      <c r="F9" s="226"/>
      <c r="G9" s="226"/>
      <c r="H9" s="226"/>
      <c r="I9" s="222"/>
      <c r="J9" s="221"/>
      <c r="K9" s="221"/>
      <c r="L9" s="221"/>
      <c r="M9" s="221"/>
      <c r="N9" s="221"/>
      <c r="O9" s="221"/>
      <c r="P9" s="221"/>
      <c r="Q9" s="221"/>
      <c r="R9" s="221"/>
      <c r="S9" s="221"/>
      <c r="T9" s="221"/>
      <c r="U9" s="221"/>
      <c r="V9" s="221"/>
      <c r="W9" s="221"/>
      <c r="X9" s="221"/>
      <c r="Y9" s="221"/>
      <c r="Z9" s="221"/>
    </row>
    <row r="10">
      <c r="A10" s="221"/>
      <c r="B10" s="230" t="str">
        <f>"2. "&amp;FillIn!M4&amp;IF(FillIn!H14="Intern",", woonachtig",", hodn "&amp;FillIn!G47&amp;", kantoor houdende")&amp;" aan de "&amp;FillIn!D5&amp;", "&amp;FillIn!D6&amp;" "&amp;FillIn!D7&amp;", hierna te noemen "&amp;IF(FillIn!H14="Intern","Werknemer ","externe Opdrachtnemer ")&amp;" oftewel vervoersmanager,"""</f>
        <v>2. de heer G. Aslan, woonachtig aan de Bikscotelaan 248 /2/2140 Borgerhout, 2140 An twerp, hierna te noemen Werknemer  oftewel vervoersmanager,"</v>
      </c>
      <c r="J10" s="221"/>
      <c r="K10" s="221"/>
      <c r="L10" s="221"/>
      <c r="M10" s="221"/>
      <c r="N10" s="221"/>
      <c r="O10" s="221"/>
      <c r="P10" s="221"/>
      <c r="Q10" s="221"/>
      <c r="R10" s="221"/>
      <c r="S10" s="221"/>
      <c r="T10" s="221"/>
      <c r="U10" s="221"/>
      <c r="V10" s="221"/>
      <c r="W10" s="221"/>
      <c r="X10" s="221"/>
      <c r="Y10" s="221"/>
      <c r="Z10" s="221"/>
    </row>
    <row r="11">
      <c r="A11" s="221"/>
      <c r="B11" s="231"/>
      <c r="C11" s="226"/>
      <c r="D11" s="222"/>
      <c r="E11" s="222"/>
      <c r="F11" s="222"/>
      <c r="G11" s="222"/>
      <c r="H11" s="222"/>
      <c r="I11" s="222"/>
      <c r="J11" s="221"/>
      <c r="K11" s="221"/>
      <c r="L11" s="221"/>
      <c r="M11" s="221"/>
      <c r="N11" s="221"/>
      <c r="O11" s="221"/>
      <c r="P11" s="221"/>
      <c r="Q11" s="221"/>
      <c r="R11" s="221"/>
      <c r="S11" s="221"/>
      <c r="T11" s="221"/>
      <c r="U11" s="221"/>
      <c r="V11" s="221"/>
      <c r="W11" s="221"/>
      <c r="X11" s="221"/>
      <c r="Y11" s="221"/>
      <c r="Z11" s="221"/>
    </row>
    <row r="12">
      <c r="A12" s="221"/>
      <c r="B12" s="232" t="s">
        <v>636</v>
      </c>
      <c r="C12" s="228"/>
      <c r="D12" s="228"/>
      <c r="E12" s="228"/>
      <c r="F12" s="228"/>
      <c r="G12" s="228"/>
      <c r="H12" s="228"/>
      <c r="I12" s="228"/>
      <c r="J12" s="221"/>
      <c r="K12" s="221"/>
      <c r="L12" s="221"/>
      <c r="M12" s="221"/>
      <c r="N12" s="221"/>
      <c r="O12" s="221"/>
      <c r="P12" s="221"/>
      <c r="Q12" s="221"/>
      <c r="R12" s="221"/>
      <c r="S12" s="221"/>
      <c r="T12" s="221"/>
      <c r="U12" s="221"/>
      <c r="V12" s="221"/>
      <c r="W12" s="221"/>
      <c r="X12" s="221"/>
      <c r="Y12" s="221"/>
      <c r="Z12" s="221"/>
    </row>
    <row r="13">
      <c r="A13" s="221"/>
      <c r="B13" s="231"/>
      <c r="C13" s="233"/>
      <c r="D13" s="233"/>
      <c r="E13" s="233"/>
      <c r="F13" s="233"/>
      <c r="G13" s="233"/>
      <c r="H13" s="233"/>
      <c r="I13" s="226"/>
      <c r="J13" s="221"/>
      <c r="K13" s="221"/>
      <c r="L13" s="221"/>
      <c r="M13" s="221"/>
      <c r="N13" s="221"/>
      <c r="O13" s="221"/>
      <c r="P13" s="221"/>
      <c r="Q13" s="221"/>
      <c r="R13" s="221"/>
      <c r="S13" s="221"/>
      <c r="T13" s="221"/>
      <c r="U13" s="221"/>
      <c r="V13" s="221"/>
      <c r="W13" s="221"/>
      <c r="X13" s="221"/>
      <c r="Y13" s="221"/>
      <c r="Z13" s="221"/>
    </row>
    <row r="14">
      <c r="A14" s="221"/>
      <c r="B14" s="234" t="s">
        <v>637</v>
      </c>
      <c r="C14" s="228"/>
      <c r="D14" s="228"/>
      <c r="E14" s="228"/>
      <c r="F14" s="228"/>
      <c r="G14" s="228"/>
      <c r="H14" s="228"/>
      <c r="I14" s="228"/>
      <c r="J14" s="221"/>
      <c r="K14" s="221"/>
      <c r="L14" s="221"/>
      <c r="M14" s="221"/>
      <c r="N14" s="221"/>
      <c r="O14" s="221"/>
      <c r="P14" s="221"/>
      <c r="Q14" s="221"/>
      <c r="R14" s="221"/>
      <c r="S14" s="221"/>
      <c r="T14" s="221"/>
      <c r="U14" s="221"/>
      <c r="V14" s="221"/>
      <c r="W14" s="221"/>
      <c r="X14" s="221"/>
      <c r="Y14" s="221"/>
      <c r="Z14" s="221"/>
    </row>
    <row r="15">
      <c r="A15" s="221"/>
      <c r="B15" s="231"/>
      <c r="C15" s="226"/>
      <c r="D15" s="226"/>
      <c r="E15" s="226"/>
      <c r="F15" s="226"/>
      <c r="G15" s="226"/>
      <c r="H15" s="226"/>
      <c r="I15" s="226"/>
      <c r="J15" s="221"/>
      <c r="K15" s="221"/>
      <c r="L15" s="221"/>
      <c r="M15" s="221"/>
      <c r="N15" s="221"/>
      <c r="O15" s="221"/>
      <c r="P15" s="221"/>
      <c r="Q15" s="221"/>
      <c r="R15" s="221"/>
      <c r="S15" s="221"/>
      <c r="T15" s="221"/>
      <c r="U15" s="221"/>
      <c r="V15" s="221"/>
      <c r="W15" s="221"/>
      <c r="X15" s="221"/>
      <c r="Y15" s="221"/>
      <c r="Z15" s="221"/>
    </row>
    <row r="16">
      <c r="A16" s="221"/>
      <c r="B16" s="227" t="str">
        <f>"a. Vervoermanager zal per "&amp;TEXT(FillIn!D11,"dd mmmm yyyy")&amp;IF(FillIn!D12&gt;0," tot en met "&amp;TEXT(FillIn!D12,"dd mmmm yyyy"),"")&amp;" in opdracht van opdrachtgever het management voeren over de onderneming."</f>
        <v>a. Vervoermanager zal per 18 november 2025 tot en met 17 mei 2026 in opdracht van opdrachtgever het management voeren over de onderneming.</v>
      </c>
      <c r="J16" s="221"/>
      <c r="K16" s="221"/>
      <c r="L16" s="221"/>
      <c r="M16" s="221"/>
      <c r="N16" s="221"/>
      <c r="O16" s="221"/>
      <c r="P16" s="221"/>
      <c r="Q16" s="221"/>
      <c r="R16" s="221"/>
      <c r="S16" s="221"/>
      <c r="T16" s="221"/>
      <c r="U16" s="221"/>
      <c r="V16" s="221"/>
      <c r="W16" s="221"/>
      <c r="X16" s="221"/>
      <c r="Y16" s="221"/>
      <c r="Z16" s="221"/>
    </row>
    <row r="17">
      <c r="A17" s="221"/>
      <c r="B17" s="231"/>
      <c r="C17" s="226"/>
      <c r="D17" s="226"/>
      <c r="E17" s="226"/>
      <c r="F17" s="226"/>
      <c r="G17" s="226"/>
      <c r="H17" s="226"/>
      <c r="I17" s="226"/>
      <c r="J17" s="221"/>
      <c r="K17" s="221"/>
      <c r="L17" s="221"/>
      <c r="M17" s="221"/>
      <c r="N17" s="221"/>
      <c r="O17" s="221"/>
      <c r="P17" s="221"/>
      <c r="Q17" s="221"/>
      <c r="R17" s="221"/>
      <c r="S17" s="221"/>
      <c r="T17" s="221"/>
      <c r="U17" s="221"/>
      <c r="V17" s="221"/>
      <c r="W17" s="221"/>
      <c r="X17" s="221"/>
      <c r="Y17" s="221"/>
      <c r="Z17" s="221"/>
    </row>
    <row r="18">
      <c r="A18" s="221"/>
      <c r="B18" s="227" t="s">
        <v>638</v>
      </c>
      <c r="J18" s="221"/>
      <c r="K18" s="221"/>
      <c r="L18" s="221"/>
      <c r="M18" s="221"/>
      <c r="N18" s="221"/>
      <c r="O18" s="221"/>
      <c r="P18" s="221"/>
      <c r="Q18" s="221"/>
      <c r="R18" s="221"/>
      <c r="S18" s="221"/>
      <c r="T18" s="221"/>
      <c r="U18" s="221"/>
      <c r="V18" s="221"/>
      <c r="W18" s="221"/>
      <c r="X18" s="221"/>
      <c r="Y18" s="221"/>
      <c r="Z18" s="221"/>
    </row>
    <row r="19">
      <c r="A19" s="221"/>
      <c r="B19" s="227"/>
      <c r="J19" s="221"/>
      <c r="K19" s="221"/>
      <c r="L19" s="221"/>
      <c r="M19" s="221"/>
      <c r="N19" s="221"/>
      <c r="O19" s="221"/>
      <c r="P19" s="221"/>
      <c r="Q19" s="221"/>
      <c r="R19" s="221"/>
      <c r="S19" s="221"/>
      <c r="T19" s="221"/>
      <c r="U19" s="221"/>
      <c r="V19" s="221"/>
      <c r="W19" s="221"/>
      <c r="X19" s="221"/>
      <c r="Y19" s="221"/>
      <c r="Z19" s="221"/>
    </row>
    <row r="20">
      <c r="A20" s="221"/>
      <c r="B20" s="227" t="s">
        <v>639</v>
      </c>
      <c r="J20" s="221"/>
      <c r="K20" s="221"/>
      <c r="L20" s="221"/>
      <c r="M20" s="221"/>
      <c r="N20" s="221"/>
      <c r="O20" s="221"/>
      <c r="P20" s="221"/>
      <c r="Q20" s="221"/>
      <c r="R20" s="221"/>
      <c r="S20" s="221"/>
      <c r="T20" s="221"/>
      <c r="U20" s="221"/>
      <c r="V20" s="221"/>
      <c r="W20" s="221"/>
      <c r="X20" s="221"/>
      <c r="Y20" s="221"/>
      <c r="Z20" s="221"/>
    </row>
    <row r="21">
      <c r="A21" s="221"/>
      <c r="B21" s="227" t="s">
        <v>640</v>
      </c>
      <c r="J21" s="221"/>
      <c r="K21" s="221"/>
      <c r="L21" s="221"/>
      <c r="M21" s="221"/>
      <c r="N21" s="221"/>
      <c r="O21" s="221"/>
      <c r="P21" s="221"/>
      <c r="Q21" s="221"/>
      <c r="R21" s="221"/>
      <c r="S21" s="221"/>
      <c r="T21" s="221"/>
      <c r="U21" s="221"/>
      <c r="V21" s="221"/>
      <c r="W21" s="221"/>
      <c r="X21" s="221"/>
      <c r="Y21" s="221"/>
      <c r="Z21" s="221"/>
    </row>
    <row r="22">
      <c r="A22" s="221"/>
      <c r="B22" s="227" t="s">
        <v>641</v>
      </c>
      <c r="J22" s="221"/>
      <c r="K22" s="221"/>
      <c r="L22" s="221"/>
      <c r="M22" s="221"/>
      <c r="N22" s="221"/>
      <c r="O22" s="221"/>
      <c r="P22" s="221"/>
      <c r="Q22" s="221"/>
      <c r="R22" s="221"/>
      <c r="S22" s="221"/>
      <c r="T22" s="221"/>
      <c r="U22" s="221"/>
      <c r="V22" s="221"/>
      <c r="W22" s="221"/>
      <c r="X22" s="221"/>
      <c r="Y22" s="221"/>
      <c r="Z22" s="221"/>
    </row>
    <row r="23">
      <c r="A23" s="221"/>
      <c r="B23" s="227" t="s">
        <v>642</v>
      </c>
      <c r="J23" s="221"/>
      <c r="K23" s="221"/>
      <c r="L23" s="221"/>
      <c r="M23" s="221"/>
      <c r="N23" s="221"/>
      <c r="O23" s="221"/>
      <c r="P23" s="221"/>
      <c r="Q23" s="221"/>
      <c r="R23" s="221"/>
      <c r="S23" s="221"/>
      <c r="T23" s="221"/>
      <c r="U23" s="221"/>
      <c r="V23" s="221"/>
      <c r="W23" s="221"/>
      <c r="X23" s="221"/>
      <c r="Y23" s="221"/>
      <c r="Z23" s="221"/>
    </row>
    <row r="24">
      <c r="A24" s="221"/>
      <c r="B24" s="227" t="s">
        <v>643</v>
      </c>
      <c r="J24" s="221"/>
      <c r="K24" s="221"/>
      <c r="L24" s="221"/>
      <c r="M24" s="221"/>
      <c r="N24" s="221"/>
      <c r="O24" s="221"/>
      <c r="P24" s="221"/>
      <c r="Q24" s="221"/>
      <c r="R24" s="221"/>
      <c r="S24" s="221"/>
      <c r="T24" s="221"/>
      <c r="U24" s="221"/>
      <c r="V24" s="221"/>
      <c r="W24" s="221"/>
      <c r="X24" s="221"/>
      <c r="Y24" s="221"/>
      <c r="Z24" s="221"/>
    </row>
    <row r="25">
      <c r="A25" s="221"/>
      <c r="B25" s="227" t="s">
        <v>644</v>
      </c>
      <c r="J25" s="221"/>
      <c r="K25" s="221"/>
      <c r="L25" s="221"/>
      <c r="M25" s="221"/>
      <c r="N25" s="221"/>
      <c r="O25" s="221"/>
      <c r="P25" s="221"/>
      <c r="Q25" s="221"/>
      <c r="R25" s="221"/>
      <c r="S25" s="221"/>
      <c r="T25" s="221"/>
      <c r="U25" s="221"/>
      <c r="V25" s="221"/>
      <c r="W25" s="221"/>
      <c r="X25" s="221"/>
      <c r="Y25" s="221"/>
      <c r="Z25" s="221"/>
    </row>
    <row r="26">
      <c r="A26" s="221"/>
      <c r="B26" s="227" t="s">
        <v>645</v>
      </c>
      <c r="J26" s="221"/>
      <c r="K26" s="221"/>
      <c r="L26" s="221"/>
      <c r="M26" s="221"/>
      <c r="N26" s="221"/>
      <c r="O26" s="221"/>
      <c r="P26" s="221"/>
      <c r="Q26" s="221"/>
      <c r="R26" s="221"/>
      <c r="S26" s="221"/>
      <c r="T26" s="221"/>
      <c r="U26" s="221"/>
      <c r="V26" s="221"/>
      <c r="W26" s="221"/>
      <c r="X26" s="221"/>
      <c r="Y26" s="221"/>
      <c r="Z26" s="221"/>
    </row>
    <row r="27">
      <c r="A27" s="221"/>
      <c r="B27" s="227"/>
      <c r="J27" s="221"/>
      <c r="K27" s="221"/>
      <c r="L27" s="221"/>
      <c r="M27" s="221"/>
      <c r="N27" s="221"/>
      <c r="O27" s="221"/>
      <c r="P27" s="221"/>
      <c r="Q27" s="221"/>
      <c r="R27" s="221"/>
      <c r="S27" s="221"/>
      <c r="T27" s="221"/>
      <c r="U27" s="221"/>
      <c r="V27" s="221"/>
      <c r="W27" s="221"/>
      <c r="X27" s="221"/>
      <c r="Y27" s="221"/>
      <c r="Z27" s="221"/>
    </row>
    <row r="28">
      <c r="A28" s="221"/>
      <c r="B28" s="235" t="s">
        <v>646</v>
      </c>
      <c r="J28" s="221"/>
      <c r="K28" s="221"/>
      <c r="L28" s="221"/>
      <c r="M28" s="221"/>
      <c r="N28" s="221"/>
      <c r="O28" s="221"/>
      <c r="P28" s="221"/>
      <c r="Q28" s="221"/>
      <c r="R28" s="221"/>
      <c r="S28" s="221"/>
      <c r="T28" s="221"/>
      <c r="U28" s="221"/>
      <c r="V28" s="221"/>
      <c r="W28" s="221"/>
      <c r="X28" s="221"/>
      <c r="Y28" s="221"/>
      <c r="Z28" s="221"/>
    </row>
    <row r="29">
      <c r="A29" s="221"/>
      <c r="B29" s="227"/>
      <c r="J29" s="221"/>
      <c r="K29" s="221"/>
      <c r="L29" s="221"/>
      <c r="M29" s="221"/>
      <c r="N29" s="221"/>
      <c r="O29" s="221"/>
      <c r="P29" s="221"/>
      <c r="Q29" s="221"/>
      <c r="R29" s="221"/>
      <c r="S29" s="221"/>
      <c r="T29" s="221"/>
      <c r="U29" s="221"/>
      <c r="V29" s="221"/>
      <c r="W29" s="221"/>
      <c r="X29" s="221"/>
      <c r="Y29" s="221"/>
      <c r="Z29" s="221"/>
    </row>
    <row r="30">
      <c r="A30" s="221"/>
      <c r="B30" s="227" t="str">
        <f>"a. Deze overeenkomst is aangegaan voor "&amp;IF(FillIn!D12&gt;0,"bepaalde ","onbepaalde ")&amp;"tijd. Elk van partijen kan de overeenkomst opzeggen met inachtneming van een opzegtermijn van "&amp;FillIn!D18&amp;"."</f>
        <v>a. Deze overeenkomst is aangegaan voor bepaalde tijd. Elk van partijen kan de overeenkomst opzeggen met inachtneming van een opzegtermijn van 1 maand.</v>
      </c>
      <c r="J30" s="221"/>
      <c r="K30" s="221"/>
      <c r="L30" s="221"/>
      <c r="M30" s="221"/>
      <c r="N30" s="221"/>
      <c r="O30" s="221"/>
      <c r="P30" s="221"/>
      <c r="Q30" s="221"/>
      <c r="R30" s="221"/>
      <c r="S30" s="221"/>
      <c r="T30" s="221"/>
      <c r="U30" s="221"/>
      <c r="V30" s="221"/>
      <c r="W30" s="221"/>
      <c r="X30" s="221"/>
      <c r="Y30" s="221"/>
      <c r="Z30" s="221"/>
    </row>
    <row r="31">
      <c r="A31" s="221"/>
      <c r="B31" s="227"/>
      <c r="J31" s="221"/>
      <c r="K31" s="221"/>
      <c r="L31" s="221"/>
      <c r="M31" s="221"/>
      <c r="N31" s="221"/>
      <c r="O31" s="221"/>
      <c r="P31" s="221"/>
      <c r="Q31" s="221"/>
      <c r="R31" s="221"/>
      <c r="S31" s="221"/>
      <c r="T31" s="221"/>
      <c r="U31" s="221"/>
      <c r="V31" s="221"/>
      <c r="W31" s="221"/>
      <c r="X31" s="221"/>
      <c r="Y31" s="221"/>
      <c r="Z31" s="221"/>
    </row>
    <row r="32">
      <c r="A32" s="221"/>
      <c r="B32" s="227" t="s">
        <v>647</v>
      </c>
      <c r="J32" s="221"/>
      <c r="K32" s="221"/>
      <c r="L32" s="221"/>
      <c r="M32" s="221"/>
      <c r="N32" s="221"/>
      <c r="O32" s="221"/>
      <c r="P32" s="221"/>
      <c r="Q32" s="221"/>
      <c r="R32" s="221"/>
      <c r="S32" s="221"/>
      <c r="T32" s="221"/>
      <c r="U32" s="221"/>
      <c r="V32" s="221"/>
      <c r="W32" s="221"/>
      <c r="X32" s="221"/>
      <c r="Y32" s="221"/>
      <c r="Z32" s="221"/>
    </row>
    <row r="33">
      <c r="A33" s="221"/>
      <c r="B33" s="227"/>
      <c r="J33" s="221"/>
      <c r="K33" s="221"/>
      <c r="L33" s="221"/>
      <c r="M33" s="221"/>
      <c r="N33" s="221"/>
      <c r="O33" s="221"/>
      <c r="P33" s="221"/>
      <c r="Q33" s="221"/>
      <c r="R33" s="221"/>
      <c r="S33" s="221"/>
      <c r="T33" s="221"/>
      <c r="U33" s="221"/>
      <c r="V33" s="221"/>
      <c r="W33" s="221"/>
      <c r="X33" s="221"/>
      <c r="Y33" s="221"/>
      <c r="Z33" s="221"/>
    </row>
    <row r="34">
      <c r="A34" s="221"/>
      <c r="B34" s="227" t="s">
        <v>648</v>
      </c>
      <c r="J34" s="221"/>
      <c r="K34" s="221"/>
      <c r="L34" s="221"/>
      <c r="M34" s="221"/>
      <c r="N34" s="221"/>
      <c r="O34" s="221"/>
      <c r="P34" s="221"/>
      <c r="Q34" s="221"/>
      <c r="R34" s="221"/>
      <c r="S34" s="221"/>
      <c r="T34" s="221"/>
      <c r="U34" s="221"/>
      <c r="V34" s="221"/>
      <c r="W34" s="221"/>
      <c r="X34" s="221"/>
      <c r="Y34" s="221"/>
      <c r="Z34" s="221"/>
    </row>
    <row r="35">
      <c r="A35" s="221"/>
      <c r="B35" s="227"/>
      <c r="J35" s="221"/>
      <c r="K35" s="221"/>
      <c r="L35" s="221"/>
      <c r="M35" s="221"/>
      <c r="N35" s="221"/>
      <c r="O35" s="221"/>
      <c r="P35" s="221"/>
      <c r="Q35" s="221"/>
      <c r="R35" s="221"/>
      <c r="S35" s="221"/>
      <c r="T35" s="221"/>
      <c r="U35" s="221"/>
      <c r="V35" s="221"/>
      <c r="W35" s="221"/>
      <c r="X35" s="221"/>
      <c r="Y35" s="221"/>
      <c r="Z35" s="221"/>
    </row>
    <row r="36">
      <c r="A36" s="221"/>
      <c r="B36" s="227" t="s">
        <v>649</v>
      </c>
      <c r="J36" s="221"/>
      <c r="K36" s="221"/>
      <c r="L36" s="221"/>
      <c r="M36" s="221"/>
      <c r="N36" s="221"/>
      <c r="O36" s="221"/>
      <c r="P36" s="221"/>
      <c r="Q36" s="221"/>
      <c r="R36" s="221"/>
      <c r="S36" s="221"/>
      <c r="T36" s="221"/>
      <c r="U36" s="221"/>
      <c r="V36" s="221"/>
      <c r="W36" s="221"/>
      <c r="X36" s="221"/>
      <c r="Y36" s="221"/>
      <c r="Z36" s="221"/>
    </row>
    <row r="37">
      <c r="A37" s="221"/>
      <c r="B37" s="227" t="s">
        <v>650</v>
      </c>
      <c r="J37" s="221"/>
      <c r="K37" s="221"/>
      <c r="L37" s="221"/>
      <c r="M37" s="221"/>
      <c r="N37" s="221"/>
      <c r="O37" s="221"/>
      <c r="P37" s="221"/>
      <c r="Q37" s="221"/>
      <c r="R37" s="221"/>
      <c r="S37" s="221"/>
      <c r="T37" s="221"/>
      <c r="U37" s="221"/>
      <c r="V37" s="221"/>
      <c r="W37" s="221"/>
      <c r="X37" s="221"/>
      <c r="Y37" s="221"/>
      <c r="Z37" s="221"/>
    </row>
    <row r="38">
      <c r="A38" s="221"/>
      <c r="B38" s="227" t="s">
        <v>651</v>
      </c>
      <c r="J38" s="221"/>
      <c r="K38" s="221"/>
      <c r="L38" s="221"/>
      <c r="M38" s="221"/>
      <c r="N38" s="221"/>
      <c r="O38" s="221"/>
      <c r="P38" s="221"/>
      <c r="Q38" s="221"/>
      <c r="R38" s="221"/>
      <c r="S38" s="221"/>
      <c r="T38" s="221"/>
      <c r="U38" s="221"/>
      <c r="V38" s="221"/>
      <c r="W38" s="221"/>
      <c r="X38" s="221"/>
      <c r="Y38" s="221"/>
      <c r="Z38" s="221"/>
    </row>
    <row r="39">
      <c r="A39" s="221"/>
      <c r="B39" s="227"/>
      <c r="C39" s="227"/>
      <c r="D39" s="227"/>
      <c r="E39" s="227"/>
      <c r="F39" s="227"/>
      <c r="G39" s="227"/>
      <c r="H39" s="227"/>
      <c r="I39" s="227"/>
      <c r="J39" s="221"/>
      <c r="K39" s="221"/>
      <c r="L39" s="221"/>
      <c r="M39" s="221"/>
      <c r="N39" s="221"/>
      <c r="O39" s="221"/>
      <c r="P39" s="221"/>
      <c r="Q39" s="221"/>
      <c r="R39" s="221"/>
      <c r="S39" s="221"/>
      <c r="T39" s="221"/>
      <c r="U39" s="221"/>
      <c r="V39" s="221"/>
      <c r="W39" s="221"/>
      <c r="X39" s="221"/>
      <c r="Y39" s="221"/>
      <c r="Z39" s="221"/>
    </row>
    <row r="40">
      <c r="A40" s="221"/>
      <c r="B40" s="227"/>
      <c r="C40" s="227"/>
      <c r="D40" s="227"/>
      <c r="E40" s="227"/>
      <c r="F40" s="227"/>
      <c r="G40" s="227"/>
      <c r="H40" s="227"/>
      <c r="I40" s="227"/>
      <c r="J40" s="221"/>
      <c r="K40" s="221"/>
      <c r="L40" s="221"/>
      <c r="M40" s="221"/>
      <c r="N40" s="221"/>
      <c r="O40" s="221"/>
      <c r="P40" s="221"/>
      <c r="Q40" s="221"/>
      <c r="R40" s="221"/>
      <c r="S40" s="221"/>
      <c r="T40" s="221"/>
      <c r="U40" s="221"/>
      <c r="V40" s="221"/>
      <c r="W40" s="221"/>
      <c r="X40" s="221"/>
      <c r="Y40" s="221"/>
      <c r="Z40" s="221"/>
    </row>
    <row r="41">
      <c r="A41" s="221"/>
      <c r="B41" s="227"/>
      <c r="J41" s="221"/>
      <c r="K41" s="221"/>
      <c r="L41" s="221"/>
      <c r="M41" s="221"/>
      <c r="N41" s="221"/>
      <c r="O41" s="221"/>
      <c r="P41" s="221"/>
      <c r="Q41" s="221"/>
      <c r="R41" s="221"/>
      <c r="S41" s="221"/>
      <c r="T41" s="221"/>
      <c r="U41" s="221"/>
      <c r="V41" s="221"/>
      <c r="W41" s="221"/>
      <c r="X41" s="221"/>
      <c r="Y41" s="221"/>
      <c r="Z41" s="221"/>
    </row>
    <row r="42">
      <c r="A42" s="221"/>
      <c r="B42" s="235" t="s">
        <v>652</v>
      </c>
      <c r="J42" s="221"/>
      <c r="K42" s="221"/>
      <c r="L42" s="221"/>
      <c r="M42" s="221"/>
      <c r="N42" s="221"/>
      <c r="O42" s="221"/>
      <c r="P42" s="221"/>
      <c r="Q42" s="221"/>
      <c r="R42" s="221"/>
      <c r="S42" s="221"/>
      <c r="T42" s="221"/>
      <c r="U42" s="221"/>
      <c r="V42" s="221"/>
      <c r="W42" s="221"/>
      <c r="X42" s="221"/>
      <c r="Y42" s="221"/>
      <c r="Z42" s="221"/>
    </row>
    <row r="43">
      <c r="A43" s="221"/>
      <c r="B43" s="227"/>
      <c r="J43" s="221"/>
      <c r="K43" s="221"/>
      <c r="L43" s="221"/>
      <c r="M43" s="221"/>
      <c r="N43" s="221"/>
      <c r="O43" s="221"/>
      <c r="P43" s="221"/>
      <c r="Q43" s="221"/>
      <c r="R43" s="221"/>
      <c r="S43" s="221"/>
      <c r="T43" s="221"/>
      <c r="U43" s="221"/>
      <c r="V43" s="221"/>
      <c r="W43" s="221"/>
      <c r="X43" s="221"/>
      <c r="Y43" s="221"/>
      <c r="Z43" s="221"/>
    </row>
    <row r="44">
      <c r="A44" s="221"/>
      <c r="B44" s="227" t="str">
        <f>"De managementvergoeding is € "&amp;FillIn!D19&amp;" per maand, gebaseerd op "&amp;FillIn!H15&amp;" voertuig(en). De totale vergoeding die opdrachtgever aan de vervoermanager verschuldigd is bedraagt € "&amp;IF(FillIn!H14="Intern",FillIn!D19&amp;"  - euro per maand. ",FillIn!H19&amp;" - euro per maand, inclusief omzetbelasting. ")&amp;" De managementvergoeding wordt maandelijks voldaan. De vergoeding zal jaarlijks kunnen worden herzien. Partijen zullen omtrent een eventuele herziening overleg plegen. In totaal zal de vervoermanager "&amp;FillIn!H16&amp;" uur per week voor opdrachtgever werkzaamheden verrichten."</f>
        <v>De managementvergoeding is € 350 per maand, gebaseerd op 6 voertuig(en). De totale vergoeding die opdrachtgever aan de vervoermanager verschuldigd is bedraagt € 350  - euro per maand.  De managementvergoeding wordt maandelijks voldaan. De vergoeding zal jaarlijks kunnen worden herzien. Partijen zullen omtrent een eventuele herziening overleg plegen. In totaal zal de vervoermanager 40 uur per week voor opdrachtgever werkzaamheden verrichten.</v>
      </c>
      <c r="J44" s="221"/>
      <c r="K44" s="221"/>
      <c r="L44" s="221"/>
      <c r="M44" s="221"/>
      <c r="N44" s="221"/>
      <c r="O44" s="221"/>
      <c r="P44" s="221"/>
      <c r="Q44" s="221"/>
      <c r="R44" s="221"/>
      <c r="S44" s="221"/>
      <c r="T44" s="221"/>
      <c r="U44" s="221"/>
      <c r="V44" s="221"/>
      <c r="W44" s="221"/>
      <c r="X44" s="221"/>
      <c r="Y44" s="221"/>
      <c r="Z44" s="221"/>
    </row>
    <row r="45">
      <c r="A45" s="221"/>
      <c r="B45" s="227"/>
      <c r="J45" s="221"/>
      <c r="K45" s="221"/>
      <c r="L45" s="221"/>
      <c r="M45" s="221"/>
      <c r="N45" s="221"/>
      <c r="O45" s="221"/>
      <c r="P45" s="221"/>
      <c r="Q45" s="221"/>
      <c r="R45" s="221"/>
      <c r="S45" s="221"/>
      <c r="T45" s="221"/>
      <c r="U45" s="221"/>
      <c r="V45" s="221"/>
      <c r="W45" s="221"/>
      <c r="X45" s="221"/>
      <c r="Y45" s="221"/>
      <c r="Z45" s="221"/>
    </row>
    <row r="46">
      <c r="A46" s="221"/>
      <c r="B46" s="227" t="s">
        <v>653</v>
      </c>
      <c r="J46" s="221"/>
      <c r="K46" s="221"/>
      <c r="L46" s="221"/>
      <c r="M46" s="221"/>
      <c r="N46" s="221"/>
      <c r="O46" s="221"/>
      <c r="P46" s="221"/>
      <c r="Q46" s="221"/>
      <c r="R46" s="221"/>
      <c r="S46" s="221"/>
      <c r="T46" s="221"/>
      <c r="U46" s="221"/>
      <c r="V46" s="221"/>
      <c r="W46" s="221"/>
      <c r="X46" s="221"/>
      <c r="Y46" s="221"/>
      <c r="Z46" s="221"/>
    </row>
    <row r="47">
      <c r="A47" s="221"/>
      <c r="B47" s="227"/>
      <c r="J47" s="221"/>
      <c r="K47" s="221"/>
      <c r="L47" s="221"/>
      <c r="M47" s="221"/>
      <c r="N47" s="221"/>
      <c r="O47" s="221"/>
      <c r="P47" s="221"/>
      <c r="Q47" s="221"/>
      <c r="R47" s="221"/>
      <c r="S47" s="221"/>
      <c r="T47" s="221"/>
      <c r="U47" s="221"/>
      <c r="V47" s="221"/>
      <c r="W47" s="221"/>
      <c r="X47" s="221"/>
      <c r="Y47" s="221"/>
      <c r="Z47" s="221"/>
    </row>
    <row r="48">
      <c r="A48" s="221"/>
      <c r="B48" s="235" t="s">
        <v>654</v>
      </c>
      <c r="J48" s="221"/>
      <c r="K48" s="221"/>
      <c r="L48" s="221"/>
      <c r="M48" s="221"/>
      <c r="N48" s="221"/>
      <c r="O48" s="221"/>
      <c r="P48" s="221"/>
      <c r="Q48" s="221"/>
      <c r="R48" s="221"/>
      <c r="S48" s="221"/>
      <c r="T48" s="221"/>
      <c r="U48" s="221"/>
      <c r="V48" s="221"/>
      <c r="W48" s="221"/>
      <c r="X48" s="221"/>
      <c r="Y48" s="221"/>
      <c r="Z48" s="221"/>
    </row>
    <row r="49">
      <c r="A49" s="221"/>
      <c r="B49" s="227"/>
      <c r="J49" s="221"/>
      <c r="K49" s="221"/>
      <c r="L49" s="221"/>
      <c r="M49" s="221"/>
      <c r="N49" s="221"/>
      <c r="O49" s="221"/>
      <c r="P49" s="221"/>
      <c r="Q49" s="221"/>
      <c r="R49" s="221"/>
      <c r="S49" s="221"/>
      <c r="T49" s="221"/>
      <c r="U49" s="221"/>
      <c r="V49" s="221"/>
      <c r="W49" s="221"/>
      <c r="X49" s="221"/>
      <c r="Y49" s="221"/>
      <c r="Z49" s="221"/>
    </row>
    <row r="50">
      <c r="A50" s="221"/>
      <c r="B50" s="227" t="s">
        <v>655</v>
      </c>
      <c r="J50" s="221"/>
      <c r="K50" s="221"/>
      <c r="L50" s="221"/>
      <c r="M50" s="221"/>
      <c r="N50" s="221"/>
      <c r="O50" s="221"/>
      <c r="P50" s="221"/>
      <c r="Q50" s="221"/>
      <c r="R50" s="221"/>
      <c r="S50" s="221"/>
      <c r="T50" s="221"/>
      <c r="U50" s="221"/>
      <c r="V50" s="221"/>
      <c r="W50" s="221"/>
      <c r="X50" s="221"/>
      <c r="Y50" s="221"/>
      <c r="Z50" s="221"/>
    </row>
    <row r="51">
      <c r="A51" s="221"/>
      <c r="B51" s="227"/>
      <c r="J51" s="221"/>
      <c r="K51" s="221"/>
      <c r="L51" s="221"/>
      <c r="M51" s="221"/>
      <c r="N51" s="221"/>
      <c r="O51" s="221"/>
      <c r="P51" s="221"/>
      <c r="Q51" s="221"/>
      <c r="R51" s="221"/>
      <c r="S51" s="221"/>
      <c r="T51" s="221"/>
      <c r="U51" s="221"/>
      <c r="V51" s="221"/>
      <c r="W51" s="221"/>
      <c r="X51" s="221"/>
      <c r="Y51" s="221"/>
      <c r="Z51" s="221"/>
    </row>
    <row r="52">
      <c r="A52" s="221"/>
      <c r="B52" s="235" t="s">
        <v>656</v>
      </c>
      <c r="J52" s="221"/>
      <c r="K52" s="221"/>
      <c r="L52" s="221"/>
      <c r="M52" s="221"/>
      <c r="N52" s="221"/>
      <c r="O52" s="221"/>
      <c r="P52" s="221"/>
      <c r="Q52" s="221"/>
      <c r="R52" s="221"/>
      <c r="S52" s="221"/>
      <c r="T52" s="221"/>
      <c r="U52" s="221"/>
      <c r="V52" s="221"/>
      <c r="W52" s="221"/>
      <c r="X52" s="221"/>
      <c r="Y52" s="221"/>
      <c r="Z52" s="221"/>
    </row>
    <row r="53">
      <c r="A53" s="221"/>
      <c r="B53" s="227"/>
      <c r="J53" s="221"/>
      <c r="K53" s="221"/>
      <c r="L53" s="221"/>
      <c r="M53" s="221"/>
      <c r="N53" s="221"/>
      <c r="O53" s="221"/>
      <c r="P53" s="221"/>
      <c r="Q53" s="221"/>
      <c r="R53" s="221"/>
      <c r="S53" s="221"/>
      <c r="T53" s="221"/>
      <c r="U53" s="221"/>
      <c r="V53" s="221"/>
      <c r="W53" s="221"/>
      <c r="X53" s="221"/>
      <c r="Y53" s="221"/>
      <c r="Z53" s="221"/>
    </row>
    <row r="54">
      <c r="A54" s="221"/>
      <c r="B54" s="227" t="s">
        <v>657</v>
      </c>
      <c r="J54" s="221"/>
      <c r="K54" s="221"/>
      <c r="L54" s="221"/>
      <c r="M54" s="221"/>
      <c r="N54" s="221"/>
      <c r="O54" s="221"/>
      <c r="P54" s="221"/>
      <c r="Q54" s="221"/>
      <c r="R54" s="221"/>
      <c r="S54" s="221"/>
      <c r="T54" s="221"/>
      <c r="U54" s="221"/>
      <c r="V54" s="221"/>
      <c r="W54" s="221"/>
      <c r="X54" s="221"/>
      <c r="Y54" s="221"/>
      <c r="Z54" s="221"/>
    </row>
    <row r="55">
      <c r="A55" s="221"/>
      <c r="B55" s="227"/>
      <c r="J55" s="221"/>
      <c r="K55" s="221"/>
      <c r="L55" s="221"/>
      <c r="M55" s="221"/>
      <c r="N55" s="221"/>
      <c r="O55" s="221"/>
      <c r="P55" s="221"/>
      <c r="Q55" s="221"/>
      <c r="R55" s="221"/>
      <c r="S55" s="221"/>
      <c r="T55" s="221"/>
      <c r="U55" s="221"/>
      <c r="V55" s="221"/>
      <c r="W55" s="221"/>
      <c r="X55" s="221"/>
      <c r="Y55" s="221"/>
      <c r="Z55" s="221"/>
    </row>
    <row r="56">
      <c r="A56" s="221"/>
      <c r="B56" s="235" t="s">
        <v>658</v>
      </c>
      <c r="J56" s="221"/>
      <c r="K56" s="221"/>
      <c r="L56" s="221"/>
      <c r="M56" s="221"/>
      <c r="N56" s="221"/>
      <c r="O56" s="221"/>
      <c r="P56" s="221"/>
      <c r="Q56" s="221"/>
      <c r="R56" s="221"/>
      <c r="S56" s="221"/>
      <c r="T56" s="221"/>
      <c r="U56" s="221"/>
      <c r="V56" s="221"/>
      <c r="W56" s="221"/>
      <c r="X56" s="221"/>
      <c r="Y56" s="221"/>
      <c r="Z56" s="221"/>
    </row>
    <row r="57">
      <c r="A57" s="221"/>
      <c r="B57" s="227"/>
      <c r="J57" s="221"/>
      <c r="K57" s="221"/>
      <c r="L57" s="221"/>
      <c r="M57" s="221"/>
      <c r="N57" s="221"/>
      <c r="O57" s="221"/>
      <c r="P57" s="221"/>
      <c r="Q57" s="221"/>
      <c r="R57" s="221"/>
      <c r="S57" s="221"/>
      <c r="T57" s="221"/>
      <c r="U57" s="221"/>
      <c r="V57" s="221"/>
      <c r="W57" s="221"/>
      <c r="X57" s="221"/>
      <c r="Y57" s="221"/>
      <c r="Z57" s="221"/>
    </row>
    <row r="58">
      <c r="A58" s="221"/>
      <c r="B58" s="227" t="s">
        <v>659</v>
      </c>
      <c r="J58" s="221"/>
      <c r="K58" s="221"/>
      <c r="L58" s="221"/>
      <c r="M58" s="221"/>
      <c r="N58" s="221"/>
      <c r="O58" s="221"/>
      <c r="P58" s="221"/>
      <c r="Q58" s="221"/>
      <c r="R58" s="221"/>
      <c r="S58" s="221"/>
      <c r="T58" s="221"/>
      <c r="U58" s="221"/>
      <c r="V58" s="221"/>
      <c r="W58" s="221"/>
      <c r="X58" s="221"/>
      <c r="Y58" s="221"/>
      <c r="Z58" s="221"/>
    </row>
    <row r="59">
      <c r="A59" s="221"/>
      <c r="B59" s="227"/>
      <c r="J59" s="221"/>
      <c r="K59" s="221"/>
      <c r="L59" s="221"/>
      <c r="M59" s="221"/>
      <c r="N59" s="221"/>
      <c r="O59" s="221"/>
      <c r="P59" s="221"/>
      <c r="Q59" s="221"/>
      <c r="R59" s="221"/>
      <c r="S59" s="221"/>
      <c r="T59" s="221"/>
      <c r="U59" s="221"/>
      <c r="V59" s="221"/>
      <c r="W59" s="221"/>
      <c r="X59" s="221"/>
      <c r="Y59" s="221"/>
      <c r="Z59" s="221"/>
    </row>
    <row r="60">
      <c r="A60" s="221"/>
      <c r="B60" s="227" t="str">
        <f>"Aldus overeengekomen, opgemaakt in tweevoud en getekend te "&amp;FillIn!H8&amp;" op "&amp;TEXT(FillIn!D52,"dd mmmm yyyy")&amp;"."</f>
        <v>Aldus overeengekomen, opgemaakt in tweevoud en getekend te Barendrecht op 17 november 2025.</v>
      </c>
      <c r="J60" s="221"/>
      <c r="K60" s="221"/>
      <c r="L60" s="221"/>
      <c r="M60" s="221"/>
      <c r="N60" s="221"/>
      <c r="O60" s="221"/>
      <c r="P60" s="221"/>
      <c r="Q60" s="221"/>
      <c r="R60" s="221"/>
      <c r="S60" s="221"/>
      <c r="T60" s="221"/>
      <c r="U60" s="221"/>
      <c r="V60" s="221"/>
      <c r="W60" s="221"/>
      <c r="X60" s="221"/>
      <c r="Y60" s="221"/>
      <c r="Z60" s="221"/>
    </row>
    <row r="61">
      <c r="A61" s="221"/>
      <c r="B61" s="227"/>
      <c r="J61" s="221"/>
      <c r="K61" s="221"/>
      <c r="L61" s="221"/>
      <c r="M61" s="221"/>
      <c r="N61" s="221"/>
      <c r="O61" s="221"/>
      <c r="P61" s="221"/>
      <c r="Q61" s="221"/>
      <c r="R61" s="221"/>
      <c r="S61" s="221"/>
      <c r="T61" s="221"/>
      <c r="U61" s="221"/>
      <c r="V61" s="221"/>
      <c r="W61" s="221"/>
      <c r="X61" s="221"/>
      <c r="Y61" s="221"/>
      <c r="Z61" s="221"/>
    </row>
    <row r="62">
      <c r="A62" s="221"/>
      <c r="B62" s="236" t="s">
        <v>660</v>
      </c>
      <c r="C62" s="227"/>
      <c r="D62" s="227"/>
      <c r="E62" s="227"/>
      <c r="F62" s="227"/>
      <c r="G62" s="227"/>
      <c r="H62" s="236" t="s">
        <v>661</v>
      </c>
      <c r="I62" s="227"/>
      <c r="J62" s="221"/>
      <c r="K62" s="221"/>
      <c r="L62" s="221"/>
      <c r="M62" s="221"/>
      <c r="N62" s="221"/>
      <c r="O62" s="221"/>
      <c r="P62" s="221"/>
      <c r="Q62" s="221"/>
      <c r="R62" s="221"/>
      <c r="S62" s="221"/>
      <c r="T62" s="221"/>
      <c r="U62" s="221"/>
      <c r="V62" s="221"/>
      <c r="W62" s="221"/>
      <c r="X62" s="221"/>
      <c r="Y62" s="221"/>
      <c r="Z62" s="221"/>
    </row>
    <row r="63">
      <c r="A63" s="221"/>
      <c r="B63" s="227"/>
      <c r="J63" s="221"/>
      <c r="K63" s="221"/>
      <c r="L63" s="221"/>
      <c r="M63" s="221"/>
      <c r="N63" s="221"/>
      <c r="O63" s="221"/>
      <c r="P63" s="221"/>
      <c r="Q63" s="221"/>
      <c r="R63" s="221"/>
      <c r="S63" s="221"/>
      <c r="T63" s="221"/>
      <c r="U63" s="221"/>
      <c r="V63" s="221"/>
      <c r="W63" s="221"/>
      <c r="X63" s="221"/>
      <c r="Y63" s="221"/>
      <c r="Z63" s="221"/>
    </row>
    <row r="64">
      <c r="A64" s="221"/>
      <c r="B64" s="227"/>
      <c r="J64" s="221"/>
      <c r="K64" s="221"/>
      <c r="L64" s="221"/>
      <c r="M64" s="221"/>
      <c r="N64" s="221"/>
      <c r="O64" s="221"/>
      <c r="P64" s="221"/>
      <c r="Q64" s="221"/>
      <c r="R64" s="221"/>
      <c r="S64" s="221"/>
      <c r="T64" s="221"/>
      <c r="U64" s="221"/>
      <c r="V64" s="221"/>
      <c r="W64" s="221"/>
      <c r="X64" s="221"/>
      <c r="Y64" s="221"/>
      <c r="Z64" s="221"/>
    </row>
    <row r="65">
      <c r="A65" s="221"/>
      <c r="B65" s="227"/>
      <c r="J65" s="221"/>
      <c r="K65" s="221"/>
      <c r="L65" s="221"/>
      <c r="M65" s="221"/>
      <c r="N65" s="221"/>
      <c r="O65" s="221"/>
      <c r="P65" s="221"/>
      <c r="Q65" s="221"/>
      <c r="R65" s="221"/>
      <c r="S65" s="221"/>
      <c r="T65" s="221"/>
      <c r="U65" s="221"/>
      <c r="V65" s="221"/>
      <c r="W65" s="221"/>
      <c r="X65" s="221"/>
      <c r="Y65" s="221"/>
      <c r="Z65" s="221"/>
    </row>
    <row r="66">
      <c r="A66" s="221"/>
      <c r="B66" s="227"/>
      <c r="J66" s="221"/>
      <c r="K66" s="221"/>
      <c r="L66" s="221"/>
      <c r="M66" s="221"/>
      <c r="N66" s="221"/>
      <c r="O66" s="221"/>
      <c r="P66" s="221"/>
      <c r="Q66" s="221"/>
      <c r="R66" s="221"/>
      <c r="S66" s="221"/>
      <c r="T66" s="221"/>
      <c r="U66" s="221"/>
      <c r="V66" s="221"/>
      <c r="W66" s="221"/>
      <c r="X66" s="221"/>
      <c r="Y66" s="221"/>
      <c r="Z66" s="221"/>
    </row>
    <row r="67">
      <c r="A67" s="221"/>
      <c r="B67" s="236" t="s">
        <v>662</v>
      </c>
      <c r="C67" s="227"/>
      <c r="D67" s="227"/>
      <c r="E67" s="227"/>
      <c r="F67" s="227"/>
      <c r="G67" s="227"/>
      <c r="H67" s="236" t="s">
        <v>662</v>
      </c>
      <c r="I67" s="227"/>
      <c r="J67" s="221"/>
      <c r="K67" s="221"/>
      <c r="L67" s="221"/>
      <c r="M67" s="221"/>
      <c r="N67" s="221"/>
      <c r="O67" s="221"/>
      <c r="P67" s="221"/>
      <c r="Q67" s="221"/>
      <c r="R67" s="221"/>
      <c r="S67" s="221"/>
      <c r="T67" s="221"/>
      <c r="U67" s="221"/>
      <c r="V67" s="221"/>
      <c r="W67" s="221"/>
      <c r="X67" s="221"/>
      <c r="Y67" s="221"/>
      <c r="Z67" s="221"/>
    </row>
    <row r="68">
      <c r="A68" s="221"/>
      <c r="B68" s="236" t="str">
        <f>FillIn!M5</f>
        <v>de heer D.O. Ibryam</v>
      </c>
      <c r="C68" s="227"/>
      <c r="D68" s="227"/>
      <c r="E68" s="227"/>
      <c r="F68" s="227"/>
      <c r="G68" s="227"/>
      <c r="H68" s="236" t="str">
        <f>FillIn!M50</f>
        <v>deheer A.A. Kazakov</v>
      </c>
      <c r="I68" s="227"/>
      <c r="J68" s="221"/>
      <c r="K68" s="221"/>
      <c r="L68" s="221"/>
      <c r="M68" s="221"/>
      <c r="N68" s="221"/>
      <c r="O68" s="221"/>
      <c r="P68" s="221"/>
      <c r="Q68" s="221"/>
      <c r="R68" s="221"/>
      <c r="S68" s="221"/>
      <c r="T68" s="221"/>
      <c r="U68" s="221"/>
      <c r="V68" s="221"/>
      <c r="W68" s="221"/>
      <c r="X68" s="221"/>
      <c r="Y68" s="221"/>
      <c r="Z68" s="221"/>
    </row>
    <row r="69">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sheetData>
  <mergeCells count="50">
    <mergeCell ref="B2:I2"/>
    <mergeCell ref="B6:I6"/>
    <mergeCell ref="B10:I10"/>
    <mergeCell ref="B16:I16"/>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41:I41"/>
    <mergeCell ref="B42:I42"/>
    <mergeCell ref="B43:I43"/>
    <mergeCell ref="B44:I44"/>
    <mergeCell ref="B45:I45"/>
    <mergeCell ref="B46:I46"/>
    <mergeCell ref="B47:I47"/>
    <mergeCell ref="B48:I48"/>
    <mergeCell ref="B49:I49"/>
    <mergeCell ref="B50:I50"/>
    <mergeCell ref="B58:I58"/>
    <mergeCell ref="B59:I59"/>
    <mergeCell ref="B60:I60"/>
    <mergeCell ref="B61:I61"/>
    <mergeCell ref="B63:I63"/>
    <mergeCell ref="B64:I64"/>
    <mergeCell ref="B65:I65"/>
    <mergeCell ref="B66:I66"/>
    <mergeCell ref="B51:I51"/>
    <mergeCell ref="B52:I52"/>
    <mergeCell ref="B53:I53"/>
    <mergeCell ref="B54:I54"/>
    <mergeCell ref="B55:I55"/>
    <mergeCell ref="B56:I56"/>
    <mergeCell ref="B57:I5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 width="2.75"/>
    <col customWidth="1" min="3" max="3" width="1.88"/>
    <col customWidth="1" min="4" max="4" width="27.25"/>
    <col customWidth="1" min="7" max="7" width="2.25"/>
    <col customWidth="1" min="10" max="10" width="2.63"/>
  </cols>
  <sheetData>
    <row r="1">
      <c r="A1" s="190"/>
      <c r="B1" s="237" t="s">
        <v>663</v>
      </c>
      <c r="J1" s="190"/>
      <c r="K1" s="190"/>
      <c r="L1" s="190"/>
      <c r="M1" s="190"/>
      <c r="N1" s="190"/>
      <c r="O1" s="190"/>
      <c r="P1" s="190"/>
      <c r="Q1" s="190"/>
      <c r="R1" s="190"/>
      <c r="S1" s="190"/>
      <c r="T1" s="190"/>
      <c r="U1" s="190"/>
      <c r="V1" s="190"/>
      <c r="W1" s="190"/>
      <c r="X1" s="190"/>
      <c r="Y1" s="190"/>
      <c r="Z1" s="190"/>
    </row>
    <row r="2">
      <c r="A2" s="190"/>
      <c r="B2" s="238"/>
      <c r="C2" s="238"/>
      <c r="D2" s="238"/>
      <c r="E2" s="238"/>
      <c r="F2" s="238"/>
      <c r="G2" s="238"/>
      <c r="H2" s="238"/>
      <c r="I2" s="238"/>
      <c r="J2" s="190"/>
      <c r="K2" s="190"/>
      <c r="L2" s="190"/>
      <c r="M2" s="190"/>
      <c r="N2" s="190"/>
      <c r="O2" s="190"/>
      <c r="P2" s="190"/>
      <c r="Q2" s="190"/>
      <c r="R2" s="190"/>
      <c r="S2" s="190"/>
      <c r="T2" s="190"/>
      <c r="U2" s="190"/>
      <c r="V2" s="190"/>
      <c r="W2" s="190"/>
      <c r="X2" s="190"/>
      <c r="Y2" s="190"/>
      <c r="Z2" s="190"/>
    </row>
    <row r="3">
      <c r="A3" s="190"/>
      <c r="B3" s="239" t="s">
        <v>664</v>
      </c>
      <c r="F3" s="240"/>
      <c r="G3" s="240"/>
      <c r="H3" s="240"/>
      <c r="I3" s="241"/>
      <c r="J3" s="190"/>
      <c r="K3" s="190"/>
      <c r="L3" s="190"/>
      <c r="M3" s="190"/>
      <c r="N3" s="190"/>
      <c r="O3" s="190"/>
      <c r="P3" s="190"/>
      <c r="Q3" s="190"/>
      <c r="R3" s="190"/>
      <c r="S3" s="190"/>
      <c r="T3" s="190"/>
      <c r="U3" s="190"/>
      <c r="V3" s="190"/>
      <c r="W3" s="190"/>
      <c r="X3" s="190"/>
      <c r="Y3" s="190"/>
      <c r="Z3" s="190"/>
    </row>
    <row r="4">
      <c r="A4" s="190"/>
      <c r="B4" s="238"/>
      <c r="C4" s="238"/>
      <c r="D4" s="238"/>
      <c r="E4" s="240"/>
      <c r="F4" s="240"/>
      <c r="G4" s="240"/>
      <c r="H4" s="240"/>
      <c r="I4" s="241"/>
      <c r="J4" s="190"/>
      <c r="K4" s="190"/>
      <c r="L4" s="190"/>
      <c r="M4" s="190"/>
      <c r="N4" s="190"/>
      <c r="O4" s="190"/>
      <c r="P4" s="190"/>
      <c r="Q4" s="190"/>
      <c r="R4" s="190"/>
      <c r="S4" s="190"/>
      <c r="T4" s="190"/>
      <c r="U4" s="190"/>
      <c r="V4" s="190"/>
      <c r="W4" s="190"/>
      <c r="X4" s="190"/>
      <c r="Y4" s="190"/>
      <c r="Z4" s="190"/>
    </row>
    <row r="5">
      <c r="A5" s="190"/>
      <c r="B5" s="242" t="s">
        <v>665</v>
      </c>
      <c r="D5" s="243"/>
      <c r="E5" s="243"/>
      <c r="F5" s="244" t="str">
        <f>FillIn!H4</f>
        <v>DeNeX Uitzendbureau B.V.</v>
      </c>
      <c r="G5" s="244"/>
      <c r="H5" s="243"/>
      <c r="I5" s="245"/>
      <c r="J5" s="190"/>
      <c r="K5" s="190"/>
      <c r="L5" s="190"/>
      <c r="M5" s="190"/>
      <c r="N5" s="190"/>
      <c r="O5" s="190"/>
      <c r="P5" s="190"/>
      <c r="Q5" s="190"/>
      <c r="R5" s="190"/>
      <c r="S5" s="190"/>
      <c r="T5" s="190"/>
      <c r="U5" s="190"/>
      <c r="V5" s="190"/>
      <c r="W5" s="190"/>
      <c r="X5" s="190"/>
      <c r="Y5" s="190"/>
      <c r="Z5" s="190"/>
    </row>
    <row r="6">
      <c r="A6" s="190"/>
      <c r="B6" s="242" t="s">
        <v>170</v>
      </c>
      <c r="D6" s="243"/>
      <c r="E6" s="243"/>
      <c r="F6" s="242" t="str">
        <f>FillIn!H6&amp;", "&amp;FillIn!H7&amp;" "&amp;FillIn!H8</f>
        <v>Gebroken Meeldijk 66, Unit 1.15, 2991 VD Barendrecht</v>
      </c>
      <c r="G6" s="242"/>
      <c r="H6" s="242"/>
      <c r="I6" s="242"/>
      <c r="J6" s="190"/>
      <c r="K6" s="190"/>
      <c r="L6" s="190"/>
      <c r="M6" s="190"/>
      <c r="N6" s="190"/>
      <c r="O6" s="190"/>
      <c r="P6" s="190"/>
      <c r="Q6" s="190"/>
      <c r="R6" s="190"/>
      <c r="S6" s="190"/>
      <c r="T6" s="190"/>
      <c r="U6" s="190"/>
      <c r="V6" s="190"/>
      <c r="W6" s="190"/>
      <c r="X6" s="190"/>
      <c r="Y6" s="190"/>
      <c r="Z6" s="190"/>
    </row>
    <row r="7">
      <c r="A7" s="190"/>
      <c r="B7" s="242" t="s">
        <v>666</v>
      </c>
      <c r="E7" s="246"/>
      <c r="F7" s="242" t="str">
        <f>FillIn!M5</f>
        <v>de heer D.O. Ibryam</v>
      </c>
      <c r="G7" s="243"/>
      <c r="H7" s="243"/>
      <c r="I7" s="246"/>
      <c r="J7" s="190"/>
      <c r="K7" s="190"/>
      <c r="L7" s="190"/>
      <c r="M7" s="190"/>
      <c r="N7" s="190"/>
      <c r="O7" s="190"/>
      <c r="P7" s="190"/>
      <c r="Q7" s="190"/>
      <c r="R7" s="190"/>
      <c r="S7" s="190"/>
      <c r="T7" s="190"/>
      <c r="U7" s="190"/>
      <c r="V7" s="190"/>
      <c r="W7" s="190"/>
      <c r="X7" s="190"/>
      <c r="Y7" s="190"/>
      <c r="Z7" s="190"/>
    </row>
    <row r="8">
      <c r="A8" s="190"/>
      <c r="B8" s="242" t="s">
        <v>667</v>
      </c>
      <c r="E8" s="243"/>
      <c r="F8" s="242" t="str">
        <f>FillIn!H10</f>
        <v>NL863179344B01</v>
      </c>
      <c r="G8" s="242"/>
      <c r="H8" s="243"/>
      <c r="I8" s="243"/>
      <c r="J8" s="190"/>
      <c r="K8" s="190"/>
      <c r="L8" s="190"/>
      <c r="M8" s="190"/>
      <c r="N8" s="190"/>
      <c r="O8" s="190"/>
      <c r="P8" s="190"/>
      <c r="Q8" s="190"/>
      <c r="R8" s="190"/>
      <c r="S8" s="190"/>
      <c r="T8" s="190"/>
      <c r="U8" s="190"/>
      <c r="V8" s="190"/>
      <c r="W8" s="190"/>
      <c r="X8" s="190"/>
      <c r="Y8" s="190"/>
      <c r="Z8" s="190"/>
    </row>
    <row r="9">
      <c r="A9" s="190"/>
      <c r="B9" s="242" t="s">
        <v>668</v>
      </c>
      <c r="E9" s="246"/>
      <c r="F9" s="242">
        <f>FillIn!H11</f>
        <v>84349735</v>
      </c>
      <c r="G9" s="243"/>
      <c r="H9" s="243"/>
      <c r="I9" s="246"/>
      <c r="J9" s="190"/>
      <c r="K9" s="190"/>
      <c r="L9" s="190"/>
      <c r="M9" s="190"/>
      <c r="N9" s="190"/>
      <c r="O9" s="190"/>
      <c r="P9" s="190"/>
      <c r="Q9" s="190"/>
      <c r="R9" s="190"/>
      <c r="S9" s="190"/>
      <c r="T9" s="190"/>
      <c r="U9" s="190"/>
      <c r="V9" s="190"/>
      <c r="W9" s="190"/>
      <c r="X9" s="190"/>
      <c r="Y9" s="190"/>
      <c r="Z9" s="190"/>
    </row>
    <row r="10">
      <c r="A10" s="190"/>
      <c r="B10" s="242" t="s">
        <v>669</v>
      </c>
      <c r="D10" s="243"/>
      <c r="E10" s="243"/>
      <c r="F10" s="242" t="str">
        <f>VLOOKUP(FillIn!H3,CRM,14,TRUE)</f>
        <v>info@denexuitzendbureau.nl</v>
      </c>
      <c r="G10" s="242"/>
      <c r="H10" s="243"/>
      <c r="I10" s="243"/>
      <c r="J10" s="190"/>
      <c r="K10" s="190"/>
      <c r="L10" s="190"/>
      <c r="M10" s="190"/>
      <c r="N10" s="190"/>
      <c r="O10" s="190"/>
      <c r="P10" s="190"/>
      <c r="Q10" s="190"/>
      <c r="R10" s="190"/>
      <c r="S10" s="190"/>
      <c r="T10" s="190"/>
      <c r="U10" s="190"/>
      <c r="V10" s="190"/>
      <c r="W10" s="190"/>
      <c r="X10" s="190"/>
      <c r="Y10" s="190"/>
      <c r="Z10" s="190"/>
    </row>
    <row r="11">
      <c r="A11" s="190"/>
      <c r="B11" s="242" t="s">
        <v>670</v>
      </c>
      <c r="E11" s="246"/>
      <c r="F11" s="247" t="str">
        <f>FillIn!H9</f>
        <v>+31628813127</v>
      </c>
      <c r="G11" s="246"/>
      <c r="H11" s="246"/>
      <c r="I11" s="246"/>
      <c r="J11" s="190"/>
      <c r="K11" s="190"/>
      <c r="L11" s="190"/>
      <c r="M11" s="190"/>
      <c r="N11" s="190"/>
      <c r="O11" s="190"/>
      <c r="P11" s="190"/>
      <c r="Q11" s="190"/>
      <c r="R11" s="190"/>
      <c r="S11" s="190"/>
      <c r="T11" s="190"/>
      <c r="U11" s="190"/>
      <c r="V11" s="190"/>
      <c r="W11" s="190"/>
      <c r="X11" s="190"/>
      <c r="Y11" s="190"/>
      <c r="Z11" s="190"/>
    </row>
    <row r="12">
      <c r="A12" s="190"/>
      <c r="B12" s="248"/>
      <c r="C12" s="248"/>
      <c r="D12" s="243"/>
      <c r="E12" s="243"/>
      <c r="F12" s="243"/>
      <c r="G12" s="243"/>
      <c r="H12" s="243"/>
      <c r="I12" s="243"/>
      <c r="J12" s="190"/>
      <c r="K12" s="190"/>
      <c r="L12" s="190"/>
      <c r="M12" s="190"/>
      <c r="N12" s="190"/>
      <c r="O12" s="190"/>
      <c r="P12" s="190"/>
      <c r="Q12" s="190"/>
      <c r="R12" s="190"/>
      <c r="S12" s="190"/>
      <c r="T12" s="190"/>
      <c r="U12" s="190"/>
      <c r="V12" s="190"/>
      <c r="W12" s="190"/>
      <c r="X12" s="190"/>
      <c r="Y12" s="190"/>
      <c r="Z12" s="190"/>
    </row>
    <row r="13">
      <c r="A13" s="190"/>
      <c r="B13" s="242" t="s">
        <v>621</v>
      </c>
      <c r="C13" s="249"/>
      <c r="D13" s="243"/>
      <c r="E13" s="243"/>
      <c r="F13" s="243"/>
      <c r="G13" s="243"/>
      <c r="H13" s="243"/>
      <c r="I13" s="243"/>
      <c r="J13" s="190"/>
      <c r="K13" s="190"/>
      <c r="L13" s="190"/>
      <c r="M13" s="190"/>
      <c r="N13" s="190"/>
      <c r="O13" s="190"/>
      <c r="P13" s="190"/>
      <c r="Q13" s="190"/>
      <c r="R13" s="190"/>
      <c r="S13" s="190"/>
      <c r="T13" s="190"/>
      <c r="U13" s="190"/>
      <c r="V13" s="190"/>
      <c r="W13" s="190"/>
      <c r="X13" s="190"/>
      <c r="Y13" s="190"/>
      <c r="Z13" s="190"/>
    </row>
    <row r="14">
      <c r="A14" s="190"/>
      <c r="B14" s="250"/>
      <c r="C14" s="251"/>
      <c r="D14" s="238"/>
      <c r="E14" s="238"/>
      <c r="F14" s="238"/>
      <c r="G14" s="238"/>
      <c r="H14" s="238"/>
      <c r="I14" s="238"/>
      <c r="J14" s="190"/>
      <c r="K14" s="190"/>
      <c r="L14" s="190"/>
      <c r="M14" s="190"/>
      <c r="N14" s="190"/>
      <c r="O14" s="190"/>
      <c r="P14" s="190"/>
      <c r="Q14" s="190"/>
      <c r="R14" s="190"/>
      <c r="S14" s="190"/>
      <c r="T14" s="190"/>
      <c r="U14" s="190"/>
      <c r="V14" s="190"/>
      <c r="W14" s="190"/>
      <c r="X14" s="190"/>
      <c r="Y14" s="190"/>
      <c r="Z14" s="190"/>
    </row>
    <row r="15">
      <c r="A15" s="190"/>
      <c r="B15" s="239" t="s">
        <v>671</v>
      </c>
      <c r="F15" s="238"/>
      <c r="G15" s="238"/>
      <c r="H15" s="238"/>
      <c r="I15" s="238"/>
      <c r="J15" s="190"/>
      <c r="K15" s="190"/>
      <c r="L15" s="190"/>
      <c r="M15" s="190"/>
      <c r="N15" s="190"/>
      <c r="O15" s="190"/>
      <c r="P15" s="190"/>
      <c r="Q15" s="190"/>
      <c r="R15" s="190"/>
      <c r="S15" s="190"/>
      <c r="T15" s="190"/>
      <c r="U15" s="190"/>
      <c r="V15" s="190"/>
      <c r="W15" s="190"/>
      <c r="X15" s="190"/>
      <c r="Y15" s="190"/>
      <c r="Z15" s="190"/>
    </row>
    <row r="16">
      <c r="A16" s="190"/>
      <c r="B16" s="252"/>
      <c r="C16" s="252"/>
      <c r="D16" s="252"/>
      <c r="E16" s="252"/>
      <c r="F16" s="252"/>
      <c r="G16" s="252"/>
      <c r="H16" s="252"/>
      <c r="I16" s="252"/>
      <c r="J16" s="190"/>
      <c r="K16" s="190"/>
      <c r="L16" s="190"/>
      <c r="M16" s="190"/>
      <c r="N16" s="190"/>
      <c r="O16" s="190"/>
      <c r="P16" s="190"/>
      <c r="Q16" s="190"/>
      <c r="R16" s="190"/>
      <c r="S16" s="190"/>
      <c r="T16" s="190"/>
      <c r="U16" s="190"/>
      <c r="V16" s="190"/>
      <c r="W16" s="190"/>
      <c r="X16" s="190"/>
      <c r="Y16" s="190"/>
      <c r="Z16" s="190"/>
    </row>
    <row r="17">
      <c r="A17" s="190"/>
      <c r="B17" s="242" t="s">
        <v>665</v>
      </c>
      <c r="D17" s="243"/>
      <c r="E17" s="243"/>
      <c r="F17" s="244" t="str">
        <f>FillIn!G47</f>
        <v>A.A. Kazakov</v>
      </c>
      <c r="G17" s="243"/>
      <c r="H17" s="243"/>
      <c r="I17" s="245"/>
      <c r="J17" s="190"/>
      <c r="K17" s="190"/>
      <c r="L17" s="190"/>
      <c r="M17" s="190"/>
      <c r="N17" s="190"/>
      <c r="O17" s="190"/>
      <c r="P17" s="190"/>
      <c r="Q17" s="190"/>
      <c r="R17" s="190"/>
      <c r="S17" s="190"/>
      <c r="T17" s="190"/>
      <c r="U17" s="190"/>
      <c r="V17" s="190"/>
      <c r="W17" s="190"/>
      <c r="X17" s="190"/>
      <c r="Y17" s="190"/>
      <c r="Z17" s="190"/>
    </row>
    <row r="18">
      <c r="A18" s="190"/>
      <c r="B18" s="242" t="s">
        <v>170</v>
      </c>
      <c r="D18" s="243"/>
      <c r="E18" s="243"/>
      <c r="F18" s="242" t="str">
        <f>FillIn!H48&amp;", "&amp;FillIn!H49&amp;" "&amp;FillIn!I49</f>
        <v>Loosduinseweg 867, 2571AV s-Gravenhage</v>
      </c>
      <c r="G18" s="242"/>
      <c r="H18" s="242"/>
      <c r="I18" s="242"/>
      <c r="J18" s="190"/>
      <c r="K18" s="190"/>
      <c r="L18" s="190"/>
      <c r="M18" s="190"/>
      <c r="N18" s="190"/>
      <c r="O18" s="190"/>
      <c r="P18" s="190"/>
      <c r="Q18" s="190"/>
      <c r="R18" s="190"/>
      <c r="S18" s="190"/>
      <c r="T18" s="190"/>
      <c r="U18" s="190"/>
      <c r="V18" s="190"/>
      <c r="W18" s="190"/>
      <c r="X18" s="190"/>
      <c r="Y18" s="190"/>
      <c r="Z18" s="190"/>
    </row>
    <row r="19">
      <c r="A19" s="190"/>
      <c r="B19" s="242" t="s">
        <v>666</v>
      </c>
      <c r="E19" s="243"/>
      <c r="F19" s="242" t="str">
        <f>FillIn!M50</f>
        <v>deheer A.A. Kazakov</v>
      </c>
      <c r="G19" s="243"/>
      <c r="H19" s="243"/>
      <c r="I19" s="243"/>
      <c r="J19" s="190"/>
      <c r="K19" s="190"/>
      <c r="L19" s="190"/>
      <c r="M19" s="190"/>
      <c r="N19" s="190"/>
      <c r="O19" s="190"/>
      <c r="P19" s="190"/>
      <c r="Q19" s="190"/>
      <c r="R19" s="190"/>
      <c r="S19" s="190"/>
      <c r="T19" s="190"/>
      <c r="U19" s="190"/>
      <c r="V19" s="190"/>
      <c r="W19" s="190"/>
      <c r="X19" s="190"/>
      <c r="Y19" s="190"/>
      <c r="Z19" s="190"/>
    </row>
    <row r="20">
      <c r="A20" s="190"/>
      <c r="B20" s="242" t="s">
        <v>667</v>
      </c>
      <c r="E20" s="243"/>
      <c r="F20" s="242" t="str">
        <f>VLOOKUP(FillIn!$G$47,CRM,12,TRUE)</f>
        <v>NL003657916B47</v>
      </c>
      <c r="G20" s="242"/>
      <c r="H20" s="243"/>
      <c r="I20" s="243"/>
      <c r="J20" s="190"/>
      <c r="K20" s="190"/>
      <c r="L20" s="190"/>
      <c r="M20" s="190"/>
      <c r="N20" s="190"/>
      <c r="O20" s="190"/>
      <c r="P20" s="190"/>
      <c r="Q20" s="190"/>
      <c r="R20" s="190"/>
      <c r="S20" s="190"/>
      <c r="T20" s="190"/>
      <c r="U20" s="190"/>
      <c r="V20" s="190"/>
      <c r="W20" s="190"/>
      <c r="X20" s="190"/>
      <c r="Y20" s="190"/>
      <c r="Z20" s="190"/>
    </row>
    <row r="21">
      <c r="A21" s="190"/>
      <c r="B21" s="242" t="s">
        <v>668</v>
      </c>
      <c r="E21" s="243"/>
      <c r="F21" s="242">
        <f>FillIn!$H$51</f>
        <v>82225443</v>
      </c>
      <c r="G21" s="243"/>
      <c r="H21" s="243"/>
      <c r="I21" s="243"/>
      <c r="J21" s="190"/>
      <c r="K21" s="190"/>
      <c r="L21" s="190"/>
      <c r="M21" s="190"/>
      <c r="N21" s="190"/>
      <c r="O21" s="190"/>
      <c r="P21" s="190"/>
      <c r="Q21" s="190"/>
      <c r="R21" s="190"/>
      <c r="S21" s="190"/>
      <c r="T21" s="190"/>
      <c r="U21" s="190"/>
      <c r="V21" s="190"/>
      <c r="W21" s="190"/>
      <c r="X21" s="190"/>
      <c r="Y21" s="190"/>
      <c r="Z21" s="190"/>
    </row>
    <row r="22">
      <c r="A22" s="190"/>
      <c r="B22" s="242" t="s">
        <v>669</v>
      </c>
      <c r="D22" s="243"/>
      <c r="E22" s="243"/>
      <c r="F22" s="242" t="str">
        <f>VLOOKUP(FillIn!G47,CRM,14,TRUE)</f>
        <v>kazakovasen5@gmail.com</v>
      </c>
      <c r="G22" s="242"/>
      <c r="H22" s="243"/>
      <c r="I22" s="243"/>
      <c r="J22" s="190"/>
      <c r="K22" s="190"/>
      <c r="L22" s="190"/>
      <c r="M22" s="190"/>
      <c r="N22" s="190"/>
      <c r="O22" s="190"/>
      <c r="P22" s="190"/>
      <c r="Q22" s="190"/>
      <c r="R22" s="190"/>
      <c r="S22" s="190"/>
      <c r="T22" s="190"/>
      <c r="U22" s="190"/>
      <c r="V22" s="190"/>
      <c r="W22" s="190"/>
      <c r="X22" s="190"/>
      <c r="Y22" s="190"/>
      <c r="Z22" s="190"/>
    </row>
    <row r="23">
      <c r="A23" s="190"/>
      <c r="B23" s="242" t="s">
        <v>670</v>
      </c>
      <c r="E23" s="243"/>
      <c r="F23" s="253" t="str">
        <f>VLOOKUP(FillIn!G47,CRM,9,TRUE)</f>
        <v>0685411440</v>
      </c>
      <c r="G23" s="243"/>
      <c r="H23" s="243"/>
      <c r="I23" s="243"/>
      <c r="J23" s="190"/>
      <c r="K23" s="190"/>
      <c r="L23" s="190"/>
      <c r="M23" s="190"/>
      <c r="N23" s="190"/>
      <c r="O23" s="190"/>
      <c r="P23" s="190"/>
      <c r="Q23" s="190"/>
      <c r="R23" s="190"/>
      <c r="S23" s="190"/>
      <c r="T23" s="190"/>
      <c r="U23" s="190"/>
      <c r="V23" s="190"/>
      <c r="W23" s="190"/>
      <c r="X23" s="190"/>
      <c r="Y23" s="190"/>
      <c r="Z23" s="190"/>
    </row>
    <row r="24">
      <c r="A24" s="190"/>
      <c r="B24" s="248"/>
      <c r="C24" s="243"/>
      <c r="D24" s="243"/>
      <c r="E24" s="243"/>
      <c r="F24" s="243"/>
      <c r="G24" s="243"/>
      <c r="H24" s="243"/>
      <c r="I24" s="243"/>
      <c r="J24" s="190"/>
      <c r="K24" s="190"/>
      <c r="L24" s="190"/>
      <c r="M24" s="190"/>
      <c r="N24" s="190"/>
      <c r="O24" s="190"/>
      <c r="P24" s="190"/>
      <c r="Q24" s="190"/>
      <c r="R24" s="190"/>
      <c r="S24" s="190"/>
      <c r="T24" s="190"/>
      <c r="U24" s="190"/>
      <c r="V24" s="190"/>
      <c r="W24" s="190"/>
      <c r="X24" s="190"/>
      <c r="Y24" s="190"/>
      <c r="Z24" s="190"/>
    </row>
    <row r="25">
      <c r="A25" s="190"/>
      <c r="B25" s="254" t="s">
        <v>672</v>
      </c>
      <c r="E25" s="252"/>
      <c r="F25" s="252"/>
      <c r="G25" s="252"/>
      <c r="H25" s="252"/>
      <c r="I25" s="252"/>
      <c r="J25" s="190"/>
      <c r="K25" s="190"/>
      <c r="L25" s="190"/>
      <c r="M25" s="190"/>
      <c r="N25" s="190"/>
      <c r="O25" s="190"/>
      <c r="P25" s="190"/>
      <c r="Q25" s="190"/>
      <c r="R25" s="190"/>
      <c r="S25" s="190"/>
      <c r="T25" s="190"/>
      <c r="U25" s="190"/>
      <c r="V25" s="190"/>
      <c r="W25" s="190"/>
      <c r="X25" s="190"/>
      <c r="Y25" s="190"/>
      <c r="Z25" s="190"/>
    </row>
    <row r="26">
      <c r="A26" s="190"/>
      <c r="B26" s="252"/>
      <c r="C26" s="252"/>
      <c r="D26" s="252"/>
      <c r="E26" s="252"/>
      <c r="F26" s="252"/>
      <c r="G26" s="252"/>
      <c r="H26" s="252"/>
      <c r="I26" s="252"/>
      <c r="J26" s="190"/>
      <c r="K26" s="190"/>
      <c r="L26" s="190"/>
      <c r="M26" s="190"/>
      <c r="N26" s="190"/>
      <c r="O26" s="190"/>
      <c r="P26" s="190"/>
      <c r="Q26" s="190"/>
      <c r="R26" s="190"/>
      <c r="S26" s="190"/>
      <c r="T26" s="190"/>
      <c r="U26" s="190"/>
      <c r="V26" s="190"/>
      <c r="W26" s="190"/>
      <c r="X26" s="190"/>
      <c r="Y26" s="190"/>
      <c r="Z26" s="190"/>
    </row>
    <row r="27">
      <c r="A27" s="190"/>
      <c r="B27" s="255" t="s">
        <v>673</v>
      </c>
      <c r="C27" s="256" t="s">
        <v>674</v>
      </c>
      <c r="J27" s="190"/>
      <c r="K27" s="190"/>
      <c r="L27" s="190"/>
      <c r="M27" s="190"/>
      <c r="N27" s="190"/>
      <c r="O27" s="190"/>
      <c r="P27" s="190"/>
      <c r="Q27" s="190"/>
      <c r="R27" s="190"/>
      <c r="S27" s="190"/>
      <c r="T27" s="190"/>
      <c r="U27" s="190"/>
      <c r="V27" s="190"/>
      <c r="W27" s="190"/>
      <c r="X27" s="190"/>
      <c r="Y27" s="190"/>
      <c r="Z27" s="190"/>
    </row>
    <row r="28">
      <c r="A28" s="190"/>
      <c r="B28" s="255" t="s">
        <v>673</v>
      </c>
      <c r="C28" s="256" t="s">
        <v>675</v>
      </c>
      <c r="J28" s="190"/>
      <c r="K28" s="190"/>
      <c r="L28" s="190"/>
      <c r="M28" s="190"/>
      <c r="N28" s="190"/>
      <c r="O28" s="190"/>
      <c r="P28" s="190"/>
      <c r="Q28" s="190"/>
      <c r="R28" s="190"/>
      <c r="S28" s="190"/>
      <c r="T28" s="190"/>
      <c r="U28" s="190"/>
      <c r="V28" s="190"/>
      <c r="W28" s="190"/>
      <c r="X28" s="190"/>
      <c r="Y28" s="190"/>
      <c r="Z28" s="190"/>
    </row>
    <row r="29">
      <c r="A29" s="190"/>
      <c r="B29" s="257" t="s">
        <v>673</v>
      </c>
      <c r="C29" s="256" t="s">
        <v>676</v>
      </c>
      <c r="J29" s="190"/>
      <c r="K29" s="190"/>
      <c r="L29" s="190"/>
      <c r="M29" s="190"/>
      <c r="N29" s="190"/>
      <c r="O29" s="190"/>
      <c r="P29" s="190"/>
      <c r="Q29" s="190"/>
      <c r="R29" s="190"/>
      <c r="S29" s="190"/>
      <c r="T29" s="190"/>
      <c r="U29" s="190"/>
      <c r="V29" s="190"/>
      <c r="W29" s="190"/>
      <c r="X29" s="190"/>
      <c r="Y29" s="190"/>
      <c r="Z29" s="190"/>
    </row>
    <row r="30">
      <c r="A30" s="190"/>
      <c r="B30" s="255" t="s">
        <v>673</v>
      </c>
      <c r="C30" s="256" t="s">
        <v>677</v>
      </c>
      <c r="J30" s="190"/>
      <c r="K30" s="190"/>
      <c r="L30" s="190"/>
      <c r="M30" s="190"/>
      <c r="N30" s="190"/>
      <c r="O30" s="190"/>
      <c r="P30" s="190"/>
      <c r="Q30" s="190"/>
      <c r="R30" s="190"/>
      <c r="S30" s="190"/>
      <c r="T30" s="190"/>
      <c r="U30" s="190"/>
      <c r="V30" s="190"/>
      <c r="W30" s="190"/>
      <c r="X30" s="190"/>
      <c r="Y30" s="190"/>
      <c r="Z30" s="190"/>
    </row>
    <row r="31">
      <c r="A31" s="190"/>
      <c r="B31" s="257" t="s">
        <v>673</v>
      </c>
      <c r="C31" s="256" t="s">
        <v>678</v>
      </c>
      <c r="J31" s="190"/>
      <c r="K31" s="190"/>
      <c r="L31" s="190"/>
      <c r="M31" s="190"/>
      <c r="N31" s="190"/>
      <c r="O31" s="190"/>
      <c r="P31" s="190"/>
      <c r="Q31" s="190"/>
      <c r="R31" s="190"/>
      <c r="S31" s="190"/>
      <c r="T31" s="190"/>
      <c r="U31" s="190"/>
      <c r="V31" s="190"/>
      <c r="W31" s="190"/>
      <c r="X31" s="190"/>
      <c r="Y31" s="190"/>
      <c r="Z31" s="190"/>
    </row>
    <row r="32">
      <c r="A32" s="190"/>
      <c r="B32" s="257" t="s">
        <v>673</v>
      </c>
      <c r="C32" s="258" t="s">
        <v>679</v>
      </c>
      <c r="J32" s="190"/>
      <c r="K32" s="190"/>
      <c r="L32" s="190"/>
      <c r="M32" s="190"/>
      <c r="N32" s="190"/>
      <c r="O32" s="190"/>
      <c r="P32" s="190"/>
      <c r="Q32" s="190"/>
      <c r="R32" s="190"/>
      <c r="S32" s="190"/>
      <c r="T32" s="190"/>
      <c r="U32" s="190"/>
      <c r="V32" s="190"/>
      <c r="W32" s="190"/>
      <c r="X32" s="190"/>
      <c r="Y32" s="190"/>
      <c r="Z32" s="190"/>
    </row>
    <row r="33">
      <c r="A33" s="190"/>
      <c r="B33" s="259" t="s">
        <v>673</v>
      </c>
      <c r="C33" s="258" t="s">
        <v>680</v>
      </c>
      <c r="J33" s="190"/>
      <c r="K33" s="190"/>
      <c r="L33" s="190"/>
      <c r="M33" s="190"/>
      <c r="N33" s="190"/>
      <c r="O33" s="190"/>
      <c r="P33" s="190"/>
      <c r="Q33" s="190"/>
      <c r="R33" s="190"/>
      <c r="S33" s="190"/>
      <c r="T33" s="190"/>
      <c r="U33" s="190"/>
      <c r="V33" s="190"/>
      <c r="W33" s="190"/>
      <c r="X33" s="190"/>
      <c r="Y33" s="190"/>
      <c r="Z33" s="190"/>
    </row>
    <row r="34">
      <c r="A34" s="190"/>
      <c r="B34" s="252"/>
      <c r="C34" s="252"/>
      <c r="D34" s="252"/>
      <c r="E34" s="252"/>
      <c r="F34" s="252"/>
      <c r="G34" s="252"/>
      <c r="H34" s="252"/>
      <c r="I34" s="252"/>
      <c r="J34" s="190"/>
      <c r="K34" s="190"/>
      <c r="L34" s="190"/>
      <c r="M34" s="190"/>
      <c r="N34" s="190"/>
      <c r="O34" s="190"/>
      <c r="P34" s="190"/>
      <c r="Q34" s="190"/>
      <c r="R34" s="190"/>
      <c r="S34" s="190"/>
      <c r="T34" s="190"/>
      <c r="U34" s="190"/>
      <c r="V34" s="190"/>
      <c r="W34" s="190"/>
      <c r="X34" s="190"/>
      <c r="Y34" s="190"/>
      <c r="Z34" s="190"/>
    </row>
    <row r="35">
      <c r="A35" s="190"/>
      <c r="B35" s="256" t="s">
        <v>681</v>
      </c>
      <c r="J35" s="190"/>
      <c r="K35" s="190"/>
      <c r="L35" s="190"/>
      <c r="M35" s="190"/>
      <c r="N35" s="190"/>
      <c r="O35" s="190"/>
      <c r="P35" s="190"/>
      <c r="Q35" s="190"/>
      <c r="R35" s="190"/>
      <c r="S35" s="190"/>
      <c r="T35" s="190"/>
      <c r="U35" s="190"/>
      <c r="V35" s="190"/>
      <c r="W35" s="190"/>
      <c r="X35" s="190"/>
      <c r="Y35" s="190"/>
      <c r="Z35" s="190"/>
    </row>
    <row r="36">
      <c r="A36" s="190"/>
      <c r="B36" s="260"/>
      <c r="J36" s="190"/>
      <c r="K36" s="190"/>
      <c r="L36" s="190"/>
      <c r="M36" s="190"/>
      <c r="N36" s="190"/>
      <c r="O36" s="190"/>
      <c r="P36" s="190"/>
      <c r="Q36" s="190"/>
      <c r="R36" s="190"/>
      <c r="S36" s="190"/>
      <c r="T36" s="190"/>
      <c r="U36" s="190"/>
      <c r="V36" s="190"/>
      <c r="W36" s="190"/>
      <c r="X36" s="190"/>
      <c r="Y36" s="190"/>
      <c r="Z36" s="190"/>
    </row>
    <row r="37">
      <c r="A37" s="190"/>
      <c r="B37" s="261" t="s">
        <v>682</v>
      </c>
      <c r="J37" s="190"/>
      <c r="K37" s="190"/>
      <c r="L37" s="190"/>
      <c r="M37" s="190"/>
      <c r="N37" s="190"/>
      <c r="O37" s="190"/>
      <c r="P37" s="190"/>
      <c r="Q37" s="190"/>
      <c r="R37" s="190"/>
      <c r="S37" s="190"/>
      <c r="T37" s="190"/>
      <c r="U37" s="190"/>
      <c r="V37" s="190"/>
      <c r="W37" s="190"/>
      <c r="X37" s="190"/>
      <c r="Y37" s="190"/>
      <c r="Z37" s="190"/>
    </row>
    <row r="38">
      <c r="A38" s="190"/>
      <c r="B38" s="260"/>
      <c r="J38" s="190"/>
      <c r="K38" s="190"/>
      <c r="L38" s="190"/>
      <c r="M38" s="190"/>
      <c r="N38" s="190"/>
      <c r="O38" s="190"/>
      <c r="P38" s="190"/>
      <c r="Q38" s="190"/>
      <c r="R38" s="190"/>
      <c r="S38" s="190"/>
      <c r="T38" s="190"/>
      <c r="U38" s="190"/>
      <c r="V38" s="190"/>
      <c r="W38" s="190"/>
      <c r="X38" s="190"/>
      <c r="Y38" s="190"/>
      <c r="Z38" s="190"/>
    </row>
    <row r="39">
      <c r="A39" s="190"/>
      <c r="B39" s="256" t="s">
        <v>683</v>
      </c>
      <c r="J39" s="190"/>
      <c r="K39" s="190"/>
      <c r="L39" s="190"/>
      <c r="M39" s="190"/>
      <c r="N39" s="190"/>
      <c r="O39" s="190"/>
      <c r="P39" s="190"/>
      <c r="Q39" s="190"/>
      <c r="R39" s="190"/>
      <c r="S39" s="190"/>
      <c r="T39" s="190"/>
      <c r="U39" s="190"/>
      <c r="V39" s="190"/>
      <c r="W39" s="190"/>
      <c r="X39" s="190"/>
      <c r="Y39" s="190"/>
      <c r="Z39" s="190"/>
    </row>
    <row r="40">
      <c r="A40" s="190"/>
      <c r="B40" s="260"/>
      <c r="J40" s="190"/>
      <c r="K40" s="190"/>
      <c r="L40" s="190"/>
      <c r="M40" s="190"/>
      <c r="N40" s="190"/>
      <c r="O40" s="190"/>
      <c r="P40" s="190"/>
      <c r="Q40" s="190"/>
      <c r="R40" s="190"/>
      <c r="S40" s="190"/>
      <c r="T40" s="190"/>
      <c r="U40" s="190"/>
      <c r="V40" s="190"/>
      <c r="W40" s="190"/>
      <c r="X40" s="190"/>
      <c r="Y40" s="190"/>
      <c r="Z40" s="190"/>
    </row>
    <row r="41">
      <c r="A41" s="190"/>
      <c r="B41" s="256" t="s">
        <v>684</v>
      </c>
      <c r="J41" s="190"/>
      <c r="K41" s="190"/>
      <c r="L41" s="190"/>
      <c r="M41" s="190"/>
      <c r="N41" s="190"/>
      <c r="O41" s="190"/>
      <c r="P41" s="190"/>
      <c r="Q41" s="190"/>
      <c r="R41" s="190"/>
      <c r="S41" s="190"/>
      <c r="T41" s="190"/>
      <c r="U41" s="190"/>
      <c r="V41" s="190"/>
      <c r="W41" s="190"/>
      <c r="X41" s="190"/>
      <c r="Y41" s="190"/>
      <c r="Z41" s="190"/>
    </row>
    <row r="42">
      <c r="A42" s="190"/>
      <c r="B42" s="260"/>
      <c r="J42" s="190"/>
      <c r="K42" s="190"/>
      <c r="L42" s="190"/>
      <c r="M42" s="190"/>
      <c r="N42" s="190"/>
      <c r="O42" s="190"/>
      <c r="P42" s="190"/>
      <c r="Q42" s="190"/>
      <c r="R42" s="190"/>
      <c r="S42" s="190"/>
      <c r="T42" s="190"/>
      <c r="U42" s="190"/>
      <c r="V42" s="190"/>
      <c r="W42" s="190"/>
      <c r="X42" s="190"/>
      <c r="Y42" s="190"/>
      <c r="Z42" s="190"/>
    </row>
    <row r="43">
      <c r="A43" s="190"/>
      <c r="B43" s="256" t="s">
        <v>685</v>
      </c>
      <c r="J43" s="190"/>
      <c r="K43" s="190"/>
      <c r="L43" s="190"/>
      <c r="M43" s="190"/>
      <c r="N43" s="190"/>
      <c r="O43" s="190"/>
      <c r="P43" s="190"/>
      <c r="Q43" s="190"/>
      <c r="R43" s="190"/>
      <c r="S43" s="190"/>
      <c r="T43" s="190"/>
      <c r="U43" s="190"/>
      <c r="V43" s="190"/>
      <c r="W43" s="190"/>
      <c r="X43" s="190"/>
      <c r="Y43" s="190"/>
      <c r="Z43" s="190"/>
    </row>
    <row r="44">
      <c r="A44" s="190"/>
      <c r="B44" s="256" t="s">
        <v>686</v>
      </c>
      <c r="J44" s="190"/>
      <c r="K44" s="190"/>
      <c r="L44" s="190"/>
      <c r="M44" s="190"/>
      <c r="N44" s="190"/>
      <c r="O44" s="190"/>
      <c r="P44" s="190"/>
      <c r="Q44" s="190"/>
      <c r="R44" s="190"/>
      <c r="S44" s="190"/>
      <c r="T44" s="190"/>
      <c r="U44" s="190"/>
      <c r="V44" s="190"/>
      <c r="W44" s="190"/>
      <c r="X44" s="190"/>
      <c r="Y44" s="190"/>
      <c r="Z44" s="190"/>
    </row>
    <row r="45">
      <c r="A45" s="190"/>
      <c r="B45" s="256" t="s">
        <v>687</v>
      </c>
      <c r="J45" s="190"/>
      <c r="K45" s="190"/>
      <c r="L45" s="190"/>
      <c r="M45" s="190"/>
      <c r="N45" s="190"/>
      <c r="O45" s="190"/>
      <c r="P45" s="190"/>
      <c r="Q45" s="190"/>
      <c r="R45" s="190"/>
      <c r="S45" s="190"/>
      <c r="T45" s="190"/>
      <c r="U45" s="190"/>
      <c r="V45" s="190"/>
      <c r="W45" s="190"/>
      <c r="X45" s="190"/>
      <c r="Y45" s="190"/>
      <c r="Z45" s="190"/>
    </row>
    <row r="46">
      <c r="A46" s="190"/>
      <c r="B46" s="256" t="s">
        <v>688</v>
      </c>
      <c r="J46" s="190"/>
      <c r="K46" s="190"/>
      <c r="L46" s="190"/>
      <c r="M46" s="190"/>
      <c r="N46" s="190"/>
      <c r="O46" s="190"/>
      <c r="P46" s="190"/>
      <c r="Q46" s="190"/>
      <c r="R46" s="190"/>
      <c r="S46" s="190"/>
      <c r="T46" s="190"/>
      <c r="U46" s="190"/>
      <c r="V46" s="190"/>
      <c r="W46" s="190"/>
      <c r="X46" s="190"/>
      <c r="Y46" s="190"/>
      <c r="Z46" s="190"/>
    </row>
    <row r="47">
      <c r="A47" s="190"/>
      <c r="B47" s="256" t="s">
        <v>689</v>
      </c>
      <c r="J47" s="190"/>
      <c r="K47" s="190"/>
      <c r="L47" s="190"/>
      <c r="M47" s="190"/>
      <c r="N47" s="190"/>
      <c r="O47" s="190"/>
      <c r="P47" s="190"/>
      <c r="Q47" s="190"/>
      <c r="R47" s="190"/>
      <c r="S47" s="190"/>
      <c r="T47" s="190"/>
      <c r="U47" s="190"/>
      <c r="V47" s="190"/>
      <c r="W47" s="190"/>
      <c r="X47" s="190"/>
      <c r="Y47" s="190"/>
      <c r="Z47" s="190"/>
    </row>
    <row r="48">
      <c r="A48" s="190"/>
      <c r="B48" s="260"/>
      <c r="J48" s="190"/>
      <c r="K48" s="190"/>
      <c r="L48" s="190"/>
      <c r="M48" s="190"/>
      <c r="N48" s="190"/>
      <c r="O48" s="190"/>
      <c r="P48" s="190"/>
      <c r="Q48" s="190"/>
      <c r="R48" s="190"/>
      <c r="S48" s="190"/>
      <c r="T48" s="190"/>
      <c r="U48" s="190"/>
      <c r="V48" s="190"/>
      <c r="W48" s="190"/>
      <c r="X48" s="190"/>
      <c r="Y48" s="190"/>
      <c r="Z48" s="190"/>
    </row>
    <row r="49">
      <c r="A49" s="190"/>
      <c r="B49" s="261" t="s">
        <v>690</v>
      </c>
      <c r="J49" s="190"/>
      <c r="K49" s="190"/>
      <c r="L49" s="190"/>
      <c r="M49" s="190"/>
      <c r="N49" s="190"/>
      <c r="O49" s="190"/>
      <c r="P49" s="190"/>
      <c r="Q49" s="190"/>
      <c r="R49" s="190"/>
      <c r="S49" s="190"/>
      <c r="T49" s="190"/>
      <c r="U49" s="190"/>
      <c r="V49" s="190"/>
      <c r="W49" s="190"/>
      <c r="X49" s="190"/>
      <c r="Y49" s="190"/>
      <c r="Z49" s="190"/>
    </row>
    <row r="50">
      <c r="A50" s="190"/>
      <c r="B50" s="260"/>
      <c r="J50" s="190"/>
      <c r="K50" s="190"/>
      <c r="L50" s="190"/>
      <c r="M50" s="190"/>
      <c r="N50" s="190"/>
      <c r="O50" s="190"/>
      <c r="P50" s="190"/>
      <c r="Q50" s="190"/>
      <c r="R50" s="190"/>
      <c r="S50" s="190"/>
      <c r="T50" s="190"/>
      <c r="U50" s="190"/>
      <c r="V50" s="190"/>
      <c r="W50" s="190"/>
      <c r="X50" s="190"/>
      <c r="Y50" s="190"/>
      <c r="Z50" s="190"/>
    </row>
    <row r="51">
      <c r="A51" s="190"/>
      <c r="B51" s="262" t="s">
        <v>691</v>
      </c>
      <c r="C51" s="258" t="s">
        <v>692</v>
      </c>
      <c r="J51" s="190"/>
      <c r="K51" s="190"/>
      <c r="L51" s="190"/>
      <c r="M51" s="190"/>
      <c r="N51" s="190"/>
      <c r="O51" s="190"/>
      <c r="P51" s="190"/>
      <c r="Q51" s="190"/>
      <c r="R51" s="190"/>
      <c r="S51" s="190"/>
      <c r="T51" s="190"/>
      <c r="U51" s="190"/>
      <c r="V51" s="190"/>
      <c r="W51" s="190"/>
      <c r="X51" s="190"/>
      <c r="Y51" s="190"/>
      <c r="Z51" s="190"/>
    </row>
    <row r="52">
      <c r="A52" s="190"/>
      <c r="B52" s="262" t="s">
        <v>693</v>
      </c>
      <c r="C52" s="263" t="s">
        <v>694</v>
      </c>
      <c r="J52" s="190"/>
      <c r="K52" s="190"/>
      <c r="L52" s="190"/>
      <c r="M52" s="190"/>
      <c r="N52" s="190"/>
      <c r="O52" s="190"/>
      <c r="P52" s="190"/>
      <c r="Q52" s="190"/>
      <c r="R52" s="190"/>
      <c r="S52" s="190"/>
      <c r="T52" s="190"/>
      <c r="U52" s="190"/>
      <c r="V52" s="190"/>
      <c r="W52" s="190"/>
      <c r="X52" s="190"/>
      <c r="Y52" s="190"/>
      <c r="Z52" s="190"/>
    </row>
    <row r="53">
      <c r="A53" s="190"/>
      <c r="B53" s="262" t="s">
        <v>695</v>
      </c>
      <c r="C53" s="256" t="s">
        <v>696</v>
      </c>
      <c r="J53" s="190"/>
      <c r="K53" s="190"/>
      <c r="L53" s="190"/>
      <c r="M53" s="190"/>
      <c r="N53" s="190"/>
      <c r="O53" s="190"/>
      <c r="P53" s="190"/>
      <c r="Q53" s="190"/>
      <c r="R53" s="190"/>
      <c r="S53" s="190"/>
      <c r="T53" s="190"/>
      <c r="U53" s="190"/>
      <c r="V53" s="190"/>
      <c r="W53" s="190"/>
      <c r="X53" s="190"/>
      <c r="Y53" s="190"/>
      <c r="Z53" s="190"/>
    </row>
    <row r="54">
      <c r="A54" s="190"/>
      <c r="B54" s="264"/>
      <c r="C54" s="258" t="s">
        <v>673</v>
      </c>
      <c r="D54" s="256" t="s">
        <v>697</v>
      </c>
      <c r="J54" s="190"/>
      <c r="K54" s="190"/>
      <c r="L54" s="190"/>
      <c r="M54" s="190"/>
      <c r="N54" s="190"/>
      <c r="O54" s="190"/>
      <c r="P54" s="190"/>
      <c r="Q54" s="190"/>
      <c r="R54" s="190"/>
      <c r="S54" s="190"/>
      <c r="T54" s="190"/>
      <c r="U54" s="190"/>
      <c r="V54" s="190"/>
      <c r="W54" s="190"/>
      <c r="X54" s="190"/>
      <c r="Y54" s="190"/>
      <c r="Z54" s="190"/>
    </row>
    <row r="55">
      <c r="A55" s="190"/>
      <c r="B55" s="264"/>
      <c r="C55" s="258" t="s">
        <v>673</v>
      </c>
      <c r="D55" s="256" t="s">
        <v>698</v>
      </c>
      <c r="J55" s="190"/>
      <c r="K55" s="190"/>
      <c r="L55" s="190"/>
      <c r="M55" s="190"/>
      <c r="N55" s="190"/>
      <c r="O55" s="190"/>
      <c r="P55" s="190"/>
      <c r="Q55" s="190"/>
      <c r="R55" s="190"/>
      <c r="S55" s="190"/>
      <c r="T55" s="190"/>
      <c r="U55" s="190"/>
      <c r="V55" s="190"/>
      <c r="W55" s="190"/>
      <c r="X55" s="190"/>
      <c r="Y55" s="190"/>
      <c r="Z55" s="190"/>
    </row>
    <row r="56">
      <c r="A56" s="190"/>
      <c r="B56" s="264"/>
      <c r="C56" s="258" t="s">
        <v>673</v>
      </c>
      <c r="D56" s="256" t="s">
        <v>699</v>
      </c>
      <c r="J56" s="190"/>
      <c r="K56" s="190"/>
      <c r="L56" s="190"/>
      <c r="M56" s="190"/>
      <c r="N56" s="190"/>
      <c r="O56" s="190"/>
      <c r="P56" s="190"/>
      <c r="Q56" s="190"/>
      <c r="R56" s="190"/>
      <c r="S56" s="190"/>
      <c r="T56" s="190"/>
      <c r="U56" s="190"/>
      <c r="V56" s="190"/>
      <c r="W56" s="190"/>
      <c r="X56" s="190"/>
      <c r="Y56" s="190"/>
      <c r="Z56" s="190"/>
    </row>
    <row r="57">
      <c r="A57" s="190"/>
      <c r="B57" s="264"/>
      <c r="C57" s="258" t="s">
        <v>673</v>
      </c>
      <c r="D57" s="256" t="s">
        <v>700</v>
      </c>
      <c r="J57" s="190"/>
      <c r="K57" s="190"/>
      <c r="L57" s="190"/>
      <c r="M57" s="190"/>
      <c r="N57" s="190"/>
      <c r="O57" s="190"/>
      <c r="P57" s="190"/>
      <c r="Q57" s="190"/>
      <c r="R57" s="190"/>
      <c r="S57" s="190"/>
      <c r="T57" s="190"/>
      <c r="U57" s="190"/>
      <c r="V57" s="190"/>
      <c r="W57" s="190"/>
      <c r="X57" s="190"/>
      <c r="Y57" s="190"/>
      <c r="Z57" s="190"/>
    </row>
    <row r="58">
      <c r="A58" s="190"/>
      <c r="B58" s="264"/>
      <c r="C58" s="258" t="s">
        <v>673</v>
      </c>
      <c r="D58" s="256" t="s">
        <v>701</v>
      </c>
      <c r="J58" s="190"/>
      <c r="K58" s="190"/>
      <c r="L58" s="190"/>
      <c r="M58" s="190"/>
      <c r="N58" s="190"/>
      <c r="O58" s="190"/>
      <c r="P58" s="190"/>
      <c r="Q58" s="190"/>
      <c r="R58" s="190"/>
      <c r="S58" s="190"/>
      <c r="T58" s="190"/>
      <c r="U58" s="190"/>
      <c r="V58" s="190"/>
      <c r="W58" s="190"/>
      <c r="X58" s="190"/>
      <c r="Y58" s="190"/>
      <c r="Z58" s="190"/>
    </row>
    <row r="59">
      <c r="A59" s="190"/>
      <c r="B59" s="264"/>
      <c r="C59" s="258" t="s">
        <v>673</v>
      </c>
      <c r="D59" s="256" t="s">
        <v>702</v>
      </c>
      <c r="J59" s="190"/>
      <c r="K59" s="190"/>
      <c r="L59" s="190"/>
      <c r="M59" s="190"/>
      <c r="N59" s="190"/>
      <c r="O59" s="190"/>
      <c r="P59" s="190"/>
      <c r="Q59" s="190"/>
      <c r="R59" s="190"/>
      <c r="S59" s="190"/>
      <c r="T59" s="190"/>
      <c r="U59" s="190"/>
      <c r="V59" s="190"/>
      <c r="W59" s="190"/>
      <c r="X59" s="190"/>
      <c r="Y59" s="190"/>
      <c r="Z59" s="190"/>
    </row>
    <row r="60">
      <c r="A60" s="190"/>
      <c r="B60" s="262" t="s">
        <v>703</v>
      </c>
      <c r="C60" s="256" t="s">
        <v>704</v>
      </c>
      <c r="J60" s="190"/>
      <c r="K60" s="190"/>
      <c r="L60" s="190"/>
      <c r="M60" s="190"/>
      <c r="N60" s="190"/>
      <c r="O60" s="190"/>
      <c r="P60" s="190"/>
      <c r="Q60" s="190"/>
      <c r="R60" s="190"/>
      <c r="S60" s="190"/>
      <c r="T60" s="190"/>
      <c r="U60" s="190"/>
      <c r="V60" s="190"/>
      <c r="W60" s="190"/>
      <c r="X60" s="190"/>
      <c r="Y60" s="190"/>
      <c r="Z60" s="190"/>
    </row>
    <row r="61">
      <c r="A61" s="190"/>
      <c r="B61" s="264"/>
      <c r="C61" s="260"/>
      <c r="J61" s="190"/>
      <c r="K61" s="190"/>
      <c r="L61" s="190"/>
      <c r="M61" s="190"/>
      <c r="N61" s="190"/>
      <c r="O61" s="190"/>
      <c r="P61" s="190"/>
      <c r="Q61" s="190"/>
      <c r="R61" s="190"/>
      <c r="S61" s="190"/>
      <c r="T61" s="190"/>
      <c r="U61" s="190"/>
      <c r="V61" s="190"/>
      <c r="W61" s="190"/>
      <c r="X61" s="190"/>
      <c r="Y61" s="190"/>
      <c r="Z61" s="190"/>
    </row>
    <row r="62">
      <c r="A62" s="190"/>
      <c r="B62" s="261" t="s">
        <v>705</v>
      </c>
      <c r="J62" s="190"/>
      <c r="K62" s="190"/>
      <c r="L62" s="190"/>
      <c r="M62" s="190"/>
      <c r="N62" s="190"/>
      <c r="O62" s="190"/>
      <c r="P62" s="190"/>
      <c r="Q62" s="190"/>
      <c r="R62" s="190"/>
      <c r="S62" s="190"/>
      <c r="T62" s="190"/>
      <c r="U62" s="190"/>
      <c r="V62" s="190"/>
      <c r="W62" s="190"/>
      <c r="X62" s="190"/>
      <c r="Y62" s="190"/>
      <c r="Z62" s="190"/>
    </row>
    <row r="63">
      <c r="A63" s="190"/>
      <c r="B63" s="260"/>
      <c r="J63" s="190"/>
      <c r="K63" s="190"/>
      <c r="L63" s="190"/>
      <c r="M63" s="190"/>
      <c r="N63" s="190"/>
      <c r="O63" s="190"/>
      <c r="P63" s="190"/>
      <c r="Q63" s="190"/>
      <c r="R63" s="190"/>
      <c r="S63" s="190"/>
      <c r="T63" s="190"/>
      <c r="U63" s="190"/>
      <c r="V63" s="190"/>
      <c r="W63" s="190"/>
      <c r="X63" s="190"/>
      <c r="Y63" s="190"/>
      <c r="Z63" s="190"/>
    </row>
    <row r="64">
      <c r="A64" s="190"/>
      <c r="B64" s="262" t="s">
        <v>691</v>
      </c>
      <c r="C64" s="258" t="s">
        <v>706</v>
      </c>
      <c r="J64" s="190"/>
      <c r="K64" s="190"/>
      <c r="L64" s="190"/>
      <c r="M64" s="190"/>
      <c r="N64" s="190"/>
      <c r="O64" s="190"/>
      <c r="P64" s="190"/>
      <c r="Q64" s="190"/>
      <c r="R64" s="190"/>
      <c r="S64" s="190"/>
      <c r="T64" s="190"/>
      <c r="U64" s="190"/>
      <c r="V64" s="190"/>
      <c r="W64" s="190"/>
      <c r="X64" s="190"/>
      <c r="Y64" s="190"/>
      <c r="Z64" s="190"/>
    </row>
    <row r="65">
      <c r="A65" s="190"/>
      <c r="B65" s="262" t="s">
        <v>693</v>
      </c>
      <c r="C65" s="258" t="s">
        <v>707</v>
      </c>
      <c r="J65" s="190"/>
      <c r="K65" s="190"/>
      <c r="L65" s="190"/>
      <c r="M65" s="190"/>
      <c r="N65" s="190"/>
      <c r="O65" s="190"/>
      <c r="P65" s="190"/>
      <c r="Q65" s="190"/>
      <c r="R65" s="190"/>
      <c r="S65" s="190"/>
      <c r="T65" s="190"/>
      <c r="U65" s="190"/>
      <c r="V65" s="190"/>
      <c r="W65" s="190"/>
      <c r="X65" s="190"/>
      <c r="Y65" s="190"/>
      <c r="Z65" s="190"/>
    </row>
    <row r="66">
      <c r="A66" s="190"/>
      <c r="B66" s="262" t="s">
        <v>695</v>
      </c>
      <c r="C66" s="258" t="s">
        <v>708</v>
      </c>
      <c r="J66" s="190"/>
      <c r="K66" s="190"/>
      <c r="L66" s="190"/>
      <c r="M66" s="190"/>
      <c r="N66" s="190"/>
      <c r="O66" s="190"/>
      <c r="P66" s="190"/>
      <c r="Q66" s="190"/>
      <c r="R66" s="190"/>
      <c r="S66" s="190"/>
      <c r="T66" s="190"/>
      <c r="U66" s="190"/>
      <c r="V66" s="190"/>
      <c r="W66" s="190"/>
      <c r="X66" s="190"/>
      <c r="Y66" s="190"/>
      <c r="Z66" s="190"/>
    </row>
    <row r="67">
      <c r="A67" s="190"/>
      <c r="B67" s="262" t="s">
        <v>703</v>
      </c>
      <c r="C67" s="258" t="s">
        <v>709</v>
      </c>
      <c r="J67" s="190"/>
      <c r="K67" s="190"/>
      <c r="L67" s="190"/>
      <c r="M67" s="190"/>
      <c r="N67" s="190"/>
      <c r="O67" s="190"/>
      <c r="P67" s="190"/>
      <c r="Q67" s="190"/>
      <c r="R67" s="190"/>
      <c r="S67" s="190"/>
      <c r="T67" s="190"/>
      <c r="U67" s="190"/>
      <c r="V67" s="190"/>
      <c r="W67" s="190"/>
      <c r="X67" s="190"/>
      <c r="Y67" s="190"/>
      <c r="Z67" s="190"/>
    </row>
    <row r="68">
      <c r="A68" s="190"/>
      <c r="B68" s="260"/>
      <c r="J68" s="190"/>
      <c r="K68" s="190"/>
      <c r="L68" s="190"/>
      <c r="M68" s="190"/>
      <c r="N68" s="190"/>
      <c r="O68" s="190"/>
      <c r="P68" s="190"/>
      <c r="Q68" s="190"/>
      <c r="R68" s="190"/>
      <c r="S68" s="190"/>
      <c r="T68" s="190"/>
      <c r="U68" s="190"/>
      <c r="V68" s="190"/>
      <c r="W68" s="190"/>
      <c r="X68" s="190"/>
      <c r="Y68" s="190"/>
      <c r="Z68" s="190"/>
    </row>
    <row r="69">
      <c r="A69" s="190"/>
      <c r="B69" s="261" t="s">
        <v>710</v>
      </c>
      <c r="J69" s="190"/>
      <c r="K69" s="190"/>
      <c r="L69" s="190"/>
      <c r="M69" s="190"/>
      <c r="N69" s="190"/>
      <c r="O69" s="190"/>
      <c r="P69" s="190"/>
      <c r="Q69" s="190"/>
      <c r="R69" s="190"/>
      <c r="S69" s="190"/>
      <c r="T69" s="190"/>
      <c r="U69" s="190"/>
      <c r="V69" s="190"/>
      <c r="W69" s="190"/>
      <c r="X69" s="190"/>
      <c r="Y69" s="190"/>
      <c r="Z69" s="190"/>
    </row>
    <row r="70">
      <c r="A70" s="190"/>
      <c r="B70" s="265"/>
      <c r="J70" s="190"/>
      <c r="K70" s="190"/>
      <c r="L70" s="190"/>
      <c r="M70" s="190"/>
      <c r="N70" s="190"/>
      <c r="O70" s="190"/>
      <c r="P70" s="190"/>
      <c r="Q70" s="190"/>
      <c r="R70" s="190"/>
      <c r="S70" s="190"/>
      <c r="T70" s="190"/>
      <c r="U70" s="190"/>
      <c r="V70" s="190"/>
      <c r="W70" s="190"/>
      <c r="X70" s="190"/>
      <c r="Y70" s="190"/>
      <c r="Z70" s="190"/>
    </row>
    <row r="71">
      <c r="A71" s="190"/>
      <c r="B71" s="262" t="s">
        <v>691</v>
      </c>
      <c r="C71" s="258" t="s">
        <v>711</v>
      </c>
      <c r="J71" s="190"/>
      <c r="K71" s="190"/>
      <c r="L71" s="190"/>
      <c r="M71" s="190"/>
      <c r="N71" s="190"/>
      <c r="O71" s="190"/>
      <c r="P71" s="190"/>
      <c r="Q71" s="190"/>
      <c r="R71" s="190"/>
      <c r="S71" s="190"/>
      <c r="T71" s="190"/>
      <c r="U71" s="190"/>
      <c r="V71" s="190"/>
      <c r="W71" s="190"/>
      <c r="X71" s="190"/>
      <c r="Y71" s="190"/>
      <c r="Z71" s="190"/>
    </row>
    <row r="72">
      <c r="A72" s="190"/>
      <c r="B72" s="262" t="s">
        <v>693</v>
      </c>
      <c r="C72" s="258" t="s">
        <v>712</v>
      </c>
      <c r="J72" s="190"/>
      <c r="K72" s="190"/>
      <c r="L72" s="190"/>
      <c r="M72" s="190"/>
      <c r="N72" s="190"/>
      <c r="O72" s="190"/>
      <c r="P72" s="190"/>
      <c r="Q72" s="190"/>
      <c r="R72" s="190"/>
      <c r="S72" s="190"/>
      <c r="T72" s="190"/>
      <c r="U72" s="190"/>
      <c r="V72" s="190"/>
      <c r="W72" s="190"/>
      <c r="X72" s="190"/>
      <c r="Y72" s="190"/>
      <c r="Z72" s="190"/>
    </row>
    <row r="73">
      <c r="A73" s="190"/>
      <c r="B73" s="265"/>
      <c r="J73" s="190"/>
      <c r="K73" s="190"/>
      <c r="L73" s="190"/>
      <c r="M73" s="190"/>
      <c r="N73" s="190"/>
      <c r="O73" s="190"/>
      <c r="P73" s="190"/>
      <c r="Q73" s="190"/>
      <c r="R73" s="190"/>
      <c r="S73" s="190"/>
      <c r="T73" s="190"/>
      <c r="U73" s="190"/>
      <c r="V73" s="190"/>
      <c r="W73" s="190"/>
      <c r="X73" s="190"/>
      <c r="Y73" s="190"/>
      <c r="Z73" s="190"/>
    </row>
    <row r="74">
      <c r="A74" s="190"/>
      <c r="B74" s="261" t="s">
        <v>713</v>
      </c>
      <c r="J74" s="190"/>
      <c r="K74" s="190"/>
      <c r="L74" s="190"/>
      <c r="M74" s="190"/>
      <c r="N74" s="190"/>
      <c r="O74" s="190"/>
      <c r="P74" s="190"/>
      <c r="Q74" s="190"/>
      <c r="R74" s="190"/>
      <c r="S74" s="190"/>
      <c r="T74" s="190"/>
      <c r="U74" s="190"/>
      <c r="V74" s="190"/>
      <c r="W74" s="190"/>
      <c r="X74" s="190"/>
      <c r="Y74" s="190"/>
      <c r="Z74" s="190"/>
    </row>
    <row r="75">
      <c r="A75" s="190"/>
      <c r="B75" s="265"/>
      <c r="J75" s="190"/>
      <c r="K75" s="190"/>
      <c r="L75" s="190"/>
      <c r="M75" s="190"/>
      <c r="N75" s="190"/>
      <c r="O75" s="190"/>
      <c r="P75" s="190"/>
      <c r="Q75" s="190"/>
      <c r="R75" s="190"/>
      <c r="S75" s="190"/>
      <c r="T75" s="190"/>
      <c r="U75" s="190"/>
      <c r="V75" s="190"/>
      <c r="W75" s="190"/>
      <c r="X75" s="190"/>
      <c r="Y75" s="190"/>
      <c r="Z75" s="190"/>
    </row>
    <row r="76">
      <c r="A76" s="190"/>
      <c r="B76" s="262" t="s">
        <v>691</v>
      </c>
      <c r="C76" s="258" t="s">
        <v>714</v>
      </c>
      <c r="J76" s="190"/>
      <c r="K76" s="190"/>
      <c r="L76" s="190"/>
      <c r="M76" s="190"/>
      <c r="N76" s="190"/>
      <c r="O76" s="190"/>
      <c r="P76" s="190"/>
      <c r="Q76" s="190"/>
      <c r="R76" s="190"/>
      <c r="S76" s="190"/>
      <c r="T76" s="190"/>
      <c r="U76" s="190"/>
      <c r="V76" s="190"/>
      <c r="W76" s="190"/>
      <c r="X76" s="190"/>
      <c r="Y76" s="190"/>
      <c r="Z76" s="190"/>
    </row>
    <row r="77">
      <c r="A77" s="190"/>
      <c r="B77" s="262" t="s">
        <v>693</v>
      </c>
      <c r="C77" s="258" t="s">
        <v>715</v>
      </c>
      <c r="J77" s="190"/>
      <c r="K77" s="190"/>
      <c r="L77" s="190"/>
      <c r="M77" s="190"/>
      <c r="N77" s="190"/>
      <c r="O77" s="190"/>
      <c r="P77" s="190"/>
      <c r="Q77" s="190"/>
      <c r="R77" s="190"/>
      <c r="S77" s="190"/>
      <c r="T77" s="190"/>
      <c r="U77" s="190"/>
      <c r="V77" s="190"/>
      <c r="W77" s="190"/>
      <c r="X77" s="190"/>
      <c r="Y77" s="190"/>
      <c r="Z77" s="190"/>
    </row>
    <row r="78">
      <c r="A78" s="190"/>
      <c r="B78" s="262" t="s">
        <v>695</v>
      </c>
      <c r="C78" s="258" t="s">
        <v>716</v>
      </c>
      <c r="J78" s="190"/>
      <c r="K78" s="190"/>
      <c r="L78" s="190"/>
      <c r="M78" s="190"/>
      <c r="N78" s="190"/>
      <c r="O78" s="190"/>
      <c r="P78" s="190"/>
      <c r="Q78" s="190"/>
      <c r="R78" s="190"/>
      <c r="S78" s="190"/>
      <c r="T78" s="190"/>
      <c r="U78" s="190"/>
      <c r="V78" s="190"/>
      <c r="W78" s="190"/>
      <c r="X78" s="190"/>
      <c r="Y78" s="190"/>
      <c r="Z78" s="190"/>
    </row>
    <row r="79">
      <c r="A79" s="190"/>
      <c r="B79" s="262" t="s">
        <v>703</v>
      </c>
      <c r="C79" s="258" t="s">
        <v>717</v>
      </c>
      <c r="J79" s="190"/>
      <c r="K79" s="190"/>
      <c r="L79" s="190"/>
      <c r="M79" s="190"/>
      <c r="N79" s="190"/>
      <c r="O79" s="190"/>
      <c r="P79" s="190"/>
      <c r="Q79" s="190"/>
      <c r="R79" s="190"/>
      <c r="S79" s="190"/>
      <c r="T79" s="190"/>
      <c r="U79" s="190"/>
      <c r="V79" s="190"/>
      <c r="W79" s="190"/>
      <c r="X79" s="190"/>
      <c r="Y79" s="190"/>
      <c r="Z79" s="190"/>
    </row>
    <row r="80">
      <c r="A80" s="190"/>
      <c r="B80" s="262" t="s">
        <v>718</v>
      </c>
      <c r="C80" s="258" t="s">
        <v>232</v>
      </c>
      <c r="J80" s="190"/>
      <c r="K80" s="190"/>
      <c r="L80" s="190"/>
      <c r="M80" s="190"/>
      <c r="N80" s="190"/>
      <c r="O80" s="190"/>
      <c r="P80" s="190"/>
      <c r="Q80" s="190"/>
      <c r="R80" s="190"/>
      <c r="S80" s="190"/>
      <c r="T80" s="190"/>
      <c r="U80" s="190"/>
      <c r="V80" s="190"/>
      <c r="W80" s="190"/>
      <c r="X80" s="190"/>
      <c r="Y80" s="190"/>
      <c r="Z80" s="190"/>
    </row>
    <row r="81">
      <c r="A81" s="190"/>
      <c r="B81" s="265"/>
      <c r="J81" s="190"/>
      <c r="K81" s="190"/>
      <c r="L81" s="190"/>
      <c r="M81" s="190"/>
      <c r="N81" s="190"/>
      <c r="O81" s="190"/>
      <c r="P81" s="190"/>
      <c r="Q81" s="190"/>
      <c r="R81" s="190"/>
      <c r="S81" s="190"/>
      <c r="T81" s="190"/>
      <c r="U81" s="190"/>
      <c r="V81" s="190"/>
      <c r="W81" s="190"/>
      <c r="X81" s="190"/>
      <c r="Y81" s="190"/>
      <c r="Z81" s="190"/>
    </row>
    <row r="82">
      <c r="A82" s="190"/>
      <c r="B82" s="261" t="s">
        <v>719</v>
      </c>
      <c r="J82" s="190"/>
      <c r="K82" s="190"/>
      <c r="L82" s="190"/>
      <c r="M82" s="190"/>
      <c r="N82" s="190"/>
      <c r="O82" s="190"/>
      <c r="P82" s="190"/>
      <c r="Q82" s="190"/>
      <c r="R82" s="190"/>
      <c r="S82" s="190"/>
      <c r="T82" s="190"/>
      <c r="U82" s="190"/>
      <c r="V82" s="190"/>
      <c r="W82" s="190"/>
      <c r="X82" s="190"/>
      <c r="Y82" s="190"/>
      <c r="Z82" s="190"/>
    </row>
    <row r="83">
      <c r="A83" s="190"/>
      <c r="B83" s="265"/>
      <c r="J83" s="190"/>
      <c r="K83" s="190"/>
      <c r="L83" s="190"/>
      <c r="M83" s="190"/>
      <c r="N83" s="190"/>
      <c r="O83" s="190"/>
      <c r="P83" s="190"/>
      <c r="Q83" s="190"/>
      <c r="R83" s="190"/>
      <c r="S83" s="190"/>
      <c r="T83" s="190"/>
      <c r="U83" s="190"/>
      <c r="V83" s="190"/>
      <c r="W83" s="190"/>
      <c r="X83" s="190"/>
      <c r="Y83" s="190"/>
      <c r="Z83" s="190"/>
    </row>
    <row r="84">
      <c r="A84" s="190"/>
      <c r="B84" s="262" t="s">
        <v>691</v>
      </c>
      <c r="C84" s="258" t="s">
        <v>720</v>
      </c>
      <c r="J84" s="190"/>
      <c r="K84" s="190"/>
      <c r="L84" s="190"/>
      <c r="M84" s="190"/>
      <c r="N84" s="190"/>
      <c r="O84" s="190"/>
      <c r="P84" s="190"/>
      <c r="Q84" s="190"/>
      <c r="R84" s="190"/>
      <c r="S84" s="190"/>
      <c r="T84" s="190"/>
      <c r="U84" s="190"/>
      <c r="V84" s="190"/>
      <c r="W84" s="190"/>
      <c r="X84" s="190"/>
      <c r="Y84" s="190"/>
      <c r="Z84" s="190"/>
    </row>
    <row r="85">
      <c r="A85" s="190"/>
      <c r="B85" s="265"/>
      <c r="J85" s="190"/>
      <c r="K85" s="190"/>
      <c r="L85" s="190"/>
      <c r="M85" s="190"/>
      <c r="N85" s="190"/>
      <c r="O85" s="190"/>
      <c r="P85" s="190"/>
      <c r="Q85" s="190"/>
      <c r="R85" s="190"/>
      <c r="S85" s="190"/>
      <c r="T85" s="190"/>
      <c r="U85" s="190"/>
      <c r="V85" s="190"/>
      <c r="W85" s="190"/>
      <c r="X85" s="190"/>
      <c r="Y85" s="190"/>
      <c r="Z85" s="190"/>
    </row>
    <row r="86">
      <c r="A86" s="190"/>
      <c r="B86" s="261" t="s">
        <v>721</v>
      </c>
      <c r="J86" s="190"/>
      <c r="K86" s="190"/>
      <c r="L86" s="190"/>
      <c r="M86" s="190"/>
      <c r="N86" s="190"/>
      <c r="O86" s="190"/>
      <c r="P86" s="190"/>
      <c r="Q86" s="190"/>
      <c r="R86" s="190"/>
      <c r="S86" s="190"/>
      <c r="T86" s="190"/>
      <c r="U86" s="190"/>
      <c r="V86" s="190"/>
      <c r="W86" s="190"/>
      <c r="X86" s="190"/>
      <c r="Y86" s="190"/>
      <c r="Z86" s="190"/>
    </row>
    <row r="87">
      <c r="A87" s="190"/>
      <c r="B87" s="265"/>
      <c r="J87" s="190"/>
      <c r="K87" s="190"/>
      <c r="L87" s="190"/>
      <c r="M87" s="190"/>
      <c r="N87" s="190"/>
      <c r="O87" s="190"/>
      <c r="P87" s="190"/>
      <c r="Q87" s="190"/>
      <c r="R87" s="190"/>
      <c r="S87" s="190"/>
      <c r="T87" s="190"/>
      <c r="U87" s="190"/>
      <c r="V87" s="190"/>
      <c r="W87" s="190"/>
      <c r="X87" s="190"/>
      <c r="Y87" s="190"/>
      <c r="Z87" s="190"/>
    </row>
    <row r="88">
      <c r="A88" s="190"/>
      <c r="B88" s="262" t="s">
        <v>691</v>
      </c>
      <c r="C88" s="258" t="s">
        <v>722</v>
      </c>
      <c r="J88" s="190"/>
      <c r="K88" s="190"/>
      <c r="L88" s="190"/>
      <c r="M88" s="190"/>
      <c r="N88" s="190"/>
      <c r="O88" s="190"/>
      <c r="P88" s="190"/>
      <c r="Q88" s="190"/>
      <c r="R88" s="190"/>
      <c r="S88" s="190"/>
      <c r="T88" s="190"/>
      <c r="U88" s="190"/>
      <c r="V88" s="190"/>
      <c r="W88" s="190"/>
      <c r="X88" s="190"/>
      <c r="Y88" s="190"/>
      <c r="Z88" s="190"/>
    </row>
    <row r="89">
      <c r="A89" s="190"/>
      <c r="B89" s="262" t="s">
        <v>693</v>
      </c>
      <c r="C89" s="258" t="s">
        <v>723</v>
      </c>
      <c r="J89" s="190"/>
      <c r="K89" s="190"/>
      <c r="L89" s="190"/>
      <c r="M89" s="190"/>
      <c r="N89" s="190"/>
      <c r="O89" s="190"/>
      <c r="P89" s="190"/>
      <c r="Q89" s="190"/>
      <c r="R89" s="190"/>
      <c r="S89" s="190"/>
      <c r="T89" s="190"/>
      <c r="U89" s="190"/>
      <c r="V89" s="190"/>
      <c r="W89" s="190"/>
      <c r="X89" s="190"/>
      <c r="Y89" s="190"/>
      <c r="Z89" s="190"/>
    </row>
    <row r="90">
      <c r="A90" s="190"/>
      <c r="B90" s="262" t="s">
        <v>695</v>
      </c>
      <c r="C90" s="258" t="s">
        <v>724</v>
      </c>
      <c r="J90" s="190"/>
      <c r="K90" s="190"/>
      <c r="L90" s="190"/>
      <c r="M90" s="190"/>
      <c r="N90" s="190"/>
      <c r="O90" s="190"/>
      <c r="P90" s="190"/>
      <c r="Q90" s="190"/>
      <c r="R90" s="190"/>
      <c r="S90" s="190"/>
      <c r="T90" s="190"/>
      <c r="U90" s="190"/>
      <c r="V90" s="190"/>
      <c r="W90" s="190"/>
      <c r="X90" s="190"/>
      <c r="Y90" s="190"/>
      <c r="Z90" s="190"/>
    </row>
    <row r="91">
      <c r="A91" s="190"/>
      <c r="B91" s="262" t="s">
        <v>703</v>
      </c>
      <c r="C91" s="258" t="s">
        <v>725</v>
      </c>
      <c r="J91" s="190"/>
      <c r="K91" s="190"/>
      <c r="L91" s="190"/>
      <c r="M91" s="190"/>
      <c r="N91" s="190"/>
      <c r="O91" s="190"/>
      <c r="P91" s="190"/>
      <c r="Q91" s="190"/>
      <c r="R91" s="190"/>
      <c r="S91" s="190"/>
      <c r="T91" s="190"/>
      <c r="U91" s="190"/>
      <c r="V91" s="190"/>
      <c r="W91" s="190"/>
      <c r="X91" s="190"/>
      <c r="Y91" s="190"/>
      <c r="Z91" s="190"/>
    </row>
    <row r="92">
      <c r="A92" s="190"/>
      <c r="B92" s="265"/>
      <c r="J92" s="190"/>
      <c r="K92" s="190"/>
      <c r="L92" s="190"/>
      <c r="M92" s="190"/>
      <c r="N92" s="190"/>
      <c r="O92" s="190"/>
      <c r="P92" s="190"/>
      <c r="Q92" s="190"/>
      <c r="R92" s="190"/>
      <c r="S92" s="190"/>
      <c r="T92" s="190"/>
      <c r="U92" s="190"/>
      <c r="V92" s="190"/>
      <c r="W92" s="190"/>
      <c r="X92" s="190"/>
      <c r="Y92" s="190"/>
      <c r="Z92" s="190"/>
    </row>
    <row r="93">
      <c r="A93" s="190"/>
      <c r="B93" s="261" t="s">
        <v>726</v>
      </c>
      <c r="J93" s="190"/>
      <c r="K93" s="190"/>
      <c r="L93" s="190"/>
      <c r="M93" s="190"/>
      <c r="N93" s="190"/>
      <c r="O93" s="190"/>
      <c r="P93" s="190"/>
      <c r="Q93" s="190"/>
      <c r="R93" s="190"/>
      <c r="S93" s="190"/>
      <c r="T93" s="190"/>
      <c r="U93" s="190"/>
      <c r="V93" s="190"/>
      <c r="W93" s="190"/>
      <c r="X93" s="190"/>
      <c r="Y93" s="190"/>
      <c r="Z93" s="190"/>
    </row>
    <row r="94">
      <c r="A94" s="190"/>
      <c r="B94" s="265"/>
      <c r="J94" s="190"/>
      <c r="K94" s="190"/>
      <c r="L94" s="190"/>
      <c r="M94" s="190"/>
      <c r="N94" s="190"/>
      <c r="O94" s="190"/>
      <c r="P94" s="190"/>
      <c r="Q94" s="190"/>
      <c r="R94" s="190"/>
      <c r="S94" s="190"/>
      <c r="T94" s="190"/>
      <c r="U94" s="190"/>
      <c r="V94" s="190"/>
      <c r="W94" s="190"/>
      <c r="X94" s="190"/>
      <c r="Y94" s="190"/>
      <c r="Z94" s="190"/>
    </row>
    <row r="95">
      <c r="A95" s="190"/>
      <c r="B95" s="262" t="s">
        <v>691</v>
      </c>
      <c r="C95" s="258" t="s">
        <v>727</v>
      </c>
      <c r="J95" s="190"/>
      <c r="K95" s="190"/>
      <c r="L95" s="190"/>
      <c r="M95" s="190"/>
      <c r="N95" s="190"/>
      <c r="O95" s="190"/>
      <c r="P95" s="190"/>
      <c r="Q95" s="190"/>
      <c r="R95" s="190"/>
      <c r="S95" s="190"/>
      <c r="T95" s="190"/>
      <c r="U95" s="190"/>
      <c r="V95" s="190"/>
      <c r="W95" s="190"/>
      <c r="X95" s="190"/>
      <c r="Y95" s="190"/>
      <c r="Z95" s="190"/>
    </row>
    <row r="96">
      <c r="A96" s="190"/>
      <c r="B96" s="262" t="s">
        <v>693</v>
      </c>
      <c r="C96" s="258" t="s">
        <v>728</v>
      </c>
      <c r="J96" s="190"/>
      <c r="K96" s="190"/>
      <c r="L96" s="190"/>
      <c r="M96" s="190"/>
      <c r="N96" s="190"/>
      <c r="O96" s="190"/>
      <c r="P96" s="190"/>
      <c r="Q96" s="190"/>
      <c r="R96" s="190"/>
      <c r="S96" s="190"/>
      <c r="T96" s="190"/>
      <c r="U96" s="190"/>
      <c r="V96" s="190"/>
      <c r="W96" s="190"/>
      <c r="X96" s="190"/>
      <c r="Y96" s="190"/>
      <c r="Z96" s="190"/>
    </row>
    <row r="97">
      <c r="A97" s="190"/>
      <c r="B97" s="265"/>
      <c r="J97" s="190"/>
      <c r="K97" s="190"/>
      <c r="L97" s="190"/>
      <c r="M97" s="190"/>
      <c r="N97" s="190"/>
      <c r="O97" s="190"/>
      <c r="P97" s="190"/>
      <c r="Q97" s="190"/>
      <c r="R97" s="190"/>
      <c r="S97" s="190"/>
      <c r="T97" s="190"/>
      <c r="U97" s="190"/>
      <c r="V97" s="190"/>
      <c r="W97" s="190"/>
      <c r="X97" s="190"/>
      <c r="Y97" s="190"/>
      <c r="Z97" s="190"/>
    </row>
    <row r="98">
      <c r="A98" s="190"/>
      <c r="B98" s="261" t="s">
        <v>729</v>
      </c>
      <c r="J98" s="190"/>
      <c r="K98" s="190"/>
      <c r="L98" s="190"/>
      <c r="M98" s="190"/>
      <c r="N98" s="190"/>
      <c r="O98" s="190"/>
      <c r="P98" s="190"/>
      <c r="Q98" s="190"/>
      <c r="R98" s="190"/>
      <c r="S98" s="190"/>
      <c r="T98" s="190"/>
      <c r="U98" s="190"/>
      <c r="V98" s="190"/>
      <c r="W98" s="190"/>
      <c r="X98" s="190"/>
      <c r="Y98" s="190"/>
      <c r="Z98" s="190"/>
    </row>
    <row r="99">
      <c r="A99" s="190"/>
      <c r="B99" s="265"/>
      <c r="J99" s="190"/>
      <c r="K99" s="190"/>
      <c r="L99" s="190"/>
      <c r="M99" s="190"/>
      <c r="N99" s="190"/>
      <c r="O99" s="190"/>
      <c r="P99" s="190"/>
      <c r="Q99" s="190"/>
      <c r="R99" s="190"/>
      <c r="S99" s="190"/>
      <c r="T99" s="190"/>
      <c r="U99" s="190"/>
      <c r="V99" s="190"/>
      <c r="W99" s="190"/>
      <c r="X99" s="190"/>
      <c r="Y99" s="190"/>
      <c r="Z99" s="190"/>
    </row>
    <row r="100">
      <c r="A100" s="190"/>
      <c r="B100" s="262" t="s">
        <v>691</v>
      </c>
      <c r="C100" s="258" t="s">
        <v>730</v>
      </c>
      <c r="J100" s="190"/>
      <c r="K100" s="190"/>
      <c r="L100" s="190"/>
      <c r="M100" s="190"/>
      <c r="N100" s="190"/>
      <c r="O100" s="190"/>
      <c r="P100" s="190"/>
      <c r="Q100" s="190"/>
      <c r="R100" s="190"/>
      <c r="S100" s="190"/>
      <c r="T100" s="190"/>
      <c r="U100" s="190"/>
      <c r="V100" s="190"/>
      <c r="W100" s="190"/>
      <c r="X100" s="190"/>
      <c r="Y100" s="190"/>
      <c r="Z100" s="190"/>
    </row>
    <row r="101">
      <c r="A101" s="190"/>
      <c r="B101" s="262" t="s">
        <v>693</v>
      </c>
      <c r="C101" s="258" t="s">
        <v>731</v>
      </c>
      <c r="J101" s="190"/>
      <c r="K101" s="190"/>
      <c r="L101" s="190"/>
      <c r="M101" s="190"/>
      <c r="N101" s="190"/>
      <c r="O101" s="190"/>
      <c r="P101" s="190"/>
      <c r="Q101" s="190"/>
      <c r="R101" s="190"/>
      <c r="S101" s="190"/>
      <c r="T101" s="190"/>
      <c r="U101" s="190"/>
      <c r="V101" s="190"/>
      <c r="W101" s="190"/>
      <c r="X101" s="190"/>
      <c r="Y101" s="190"/>
      <c r="Z101" s="190"/>
    </row>
    <row r="102">
      <c r="A102" s="190"/>
      <c r="B102" s="262" t="s">
        <v>695</v>
      </c>
      <c r="C102" s="258" t="s">
        <v>732</v>
      </c>
      <c r="J102" s="190"/>
      <c r="K102" s="190"/>
      <c r="L102" s="190"/>
      <c r="M102" s="190"/>
      <c r="N102" s="190"/>
      <c r="O102" s="190"/>
      <c r="P102" s="190"/>
      <c r="Q102" s="190"/>
      <c r="R102" s="190"/>
      <c r="S102" s="190"/>
      <c r="T102" s="190"/>
      <c r="U102" s="190"/>
      <c r="V102" s="190"/>
      <c r="W102" s="190"/>
      <c r="X102" s="190"/>
      <c r="Y102" s="190"/>
      <c r="Z102" s="190"/>
    </row>
    <row r="103">
      <c r="A103" s="190"/>
      <c r="B103" s="262" t="s">
        <v>703</v>
      </c>
      <c r="C103" s="258" t="s">
        <v>733</v>
      </c>
      <c r="J103" s="190"/>
      <c r="K103" s="190"/>
      <c r="L103" s="190"/>
      <c r="M103" s="190"/>
      <c r="N103" s="190"/>
      <c r="O103" s="190"/>
      <c r="P103" s="190"/>
      <c r="Q103" s="190"/>
      <c r="R103" s="190"/>
      <c r="S103" s="190"/>
      <c r="T103" s="190"/>
      <c r="U103" s="190"/>
      <c r="V103" s="190"/>
      <c r="W103" s="190"/>
      <c r="X103" s="190"/>
      <c r="Y103" s="190"/>
      <c r="Z103" s="190"/>
    </row>
    <row r="104">
      <c r="A104" s="190"/>
      <c r="B104" s="265"/>
      <c r="J104" s="190"/>
      <c r="K104" s="190"/>
      <c r="L104" s="190"/>
      <c r="M104" s="190"/>
      <c r="N104" s="190"/>
      <c r="O104" s="190"/>
      <c r="P104" s="190"/>
      <c r="Q104" s="190"/>
      <c r="R104" s="190"/>
      <c r="S104" s="190"/>
      <c r="T104" s="190"/>
      <c r="U104" s="190"/>
      <c r="V104" s="190"/>
      <c r="W104" s="190"/>
      <c r="X104" s="190"/>
      <c r="Y104" s="190"/>
      <c r="Z104" s="190"/>
    </row>
    <row r="105">
      <c r="A105" s="190"/>
      <c r="B105" s="261" t="s">
        <v>734</v>
      </c>
      <c r="J105" s="190"/>
      <c r="K105" s="190"/>
      <c r="L105" s="190"/>
      <c r="M105" s="190"/>
      <c r="N105" s="190"/>
      <c r="O105" s="190"/>
      <c r="P105" s="190"/>
      <c r="Q105" s="190"/>
      <c r="R105" s="190"/>
      <c r="S105" s="190"/>
      <c r="T105" s="190"/>
      <c r="U105" s="190"/>
      <c r="V105" s="190"/>
      <c r="W105" s="190"/>
      <c r="X105" s="190"/>
      <c r="Y105" s="190"/>
      <c r="Z105" s="190"/>
    </row>
    <row r="106">
      <c r="A106" s="190"/>
      <c r="B106" s="265"/>
      <c r="J106" s="190"/>
      <c r="K106" s="190"/>
      <c r="L106" s="190"/>
      <c r="M106" s="190"/>
      <c r="N106" s="190"/>
      <c r="O106" s="190"/>
      <c r="P106" s="190"/>
      <c r="Q106" s="190"/>
      <c r="R106" s="190"/>
      <c r="S106" s="190"/>
      <c r="T106" s="190"/>
      <c r="U106" s="190"/>
      <c r="V106" s="190"/>
      <c r="W106" s="190"/>
      <c r="X106" s="190"/>
      <c r="Y106" s="190"/>
      <c r="Z106" s="190"/>
    </row>
    <row r="107">
      <c r="A107" s="190"/>
      <c r="B107" s="262" t="s">
        <v>691</v>
      </c>
      <c r="C107" s="258" t="s">
        <v>735</v>
      </c>
      <c r="J107" s="190"/>
      <c r="K107" s="190"/>
      <c r="L107" s="190"/>
      <c r="M107" s="190"/>
      <c r="N107" s="190"/>
      <c r="O107" s="190"/>
      <c r="P107" s="190"/>
      <c r="Q107" s="190"/>
      <c r="R107" s="190"/>
      <c r="S107" s="190"/>
      <c r="T107" s="190"/>
      <c r="U107" s="190"/>
      <c r="V107" s="190"/>
      <c r="W107" s="190"/>
      <c r="X107" s="190"/>
      <c r="Y107" s="190"/>
      <c r="Z107" s="190"/>
    </row>
    <row r="108">
      <c r="A108" s="190"/>
      <c r="B108" s="262" t="s">
        <v>693</v>
      </c>
      <c r="C108" s="258" t="s">
        <v>736</v>
      </c>
      <c r="J108" s="190"/>
      <c r="K108" s="190"/>
      <c r="L108" s="190"/>
      <c r="M108" s="190"/>
      <c r="N108" s="190"/>
      <c r="O108" s="190"/>
      <c r="P108" s="190"/>
      <c r="Q108" s="190"/>
      <c r="R108" s="190"/>
      <c r="S108" s="190"/>
      <c r="T108" s="190"/>
      <c r="U108" s="190"/>
      <c r="V108" s="190"/>
      <c r="W108" s="190"/>
      <c r="X108" s="190"/>
      <c r="Y108" s="190"/>
      <c r="Z108" s="190"/>
    </row>
    <row r="109">
      <c r="A109" s="190"/>
      <c r="B109" s="266"/>
      <c r="C109" s="258" t="s">
        <v>673</v>
      </c>
      <c r="D109" s="256" t="s">
        <v>737</v>
      </c>
      <c r="J109" s="190"/>
      <c r="K109" s="190"/>
      <c r="L109" s="190"/>
      <c r="M109" s="190"/>
      <c r="N109" s="190"/>
      <c r="O109" s="190"/>
      <c r="P109" s="190"/>
      <c r="Q109" s="190"/>
      <c r="R109" s="190"/>
      <c r="S109" s="190"/>
      <c r="T109" s="190"/>
      <c r="U109" s="190"/>
      <c r="V109" s="190"/>
      <c r="W109" s="190"/>
      <c r="X109" s="190"/>
      <c r="Y109" s="190"/>
      <c r="Z109" s="190"/>
    </row>
    <row r="110">
      <c r="A110" s="190"/>
      <c r="B110" s="266"/>
      <c r="C110" s="258" t="s">
        <v>673</v>
      </c>
      <c r="D110" s="256" t="s">
        <v>738</v>
      </c>
      <c r="J110" s="190"/>
      <c r="K110" s="190"/>
      <c r="L110" s="190"/>
      <c r="M110" s="190"/>
      <c r="N110" s="190"/>
      <c r="O110" s="190"/>
      <c r="P110" s="190"/>
      <c r="Q110" s="190"/>
      <c r="R110" s="190"/>
      <c r="S110" s="190"/>
      <c r="T110" s="190"/>
      <c r="U110" s="190"/>
      <c r="V110" s="190"/>
      <c r="W110" s="190"/>
      <c r="X110" s="190"/>
      <c r="Y110" s="190"/>
      <c r="Z110" s="190"/>
    </row>
    <row r="111">
      <c r="A111" s="190"/>
      <c r="B111" s="266"/>
      <c r="C111" s="258" t="s">
        <v>673</v>
      </c>
      <c r="D111" s="256" t="s">
        <v>739</v>
      </c>
      <c r="J111" s="190"/>
      <c r="K111" s="190"/>
      <c r="L111" s="190"/>
      <c r="M111" s="190"/>
      <c r="N111" s="190"/>
      <c r="O111" s="190"/>
      <c r="P111" s="190"/>
      <c r="Q111" s="190"/>
      <c r="R111" s="190"/>
      <c r="S111" s="190"/>
      <c r="T111" s="190"/>
      <c r="U111" s="190"/>
      <c r="V111" s="190"/>
      <c r="W111" s="190"/>
      <c r="X111" s="190"/>
      <c r="Y111" s="190"/>
      <c r="Z111" s="190"/>
    </row>
    <row r="112">
      <c r="A112" s="190"/>
      <c r="B112" s="266"/>
      <c r="C112" s="258" t="s">
        <v>673</v>
      </c>
      <c r="D112" s="256" t="s">
        <v>740</v>
      </c>
      <c r="J112" s="190"/>
      <c r="K112" s="190"/>
      <c r="L112" s="190"/>
      <c r="M112" s="190"/>
      <c r="N112" s="190"/>
      <c r="O112" s="190"/>
      <c r="P112" s="190"/>
      <c r="Q112" s="190"/>
      <c r="R112" s="190"/>
      <c r="S112" s="190"/>
      <c r="T112" s="190"/>
      <c r="U112" s="190"/>
      <c r="V112" s="190"/>
      <c r="W112" s="190"/>
      <c r="X112" s="190"/>
      <c r="Y112" s="190"/>
      <c r="Z112" s="190"/>
    </row>
    <row r="113">
      <c r="A113" s="190"/>
      <c r="B113" s="262" t="s">
        <v>695</v>
      </c>
      <c r="C113" s="258" t="s">
        <v>741</v>
      </c>
      <c r="J113" s="190"/>
      <c r="K113" s="190"/>
      <c r="L113" s="190"/>
      <c r="M113" s="190"/>
      <c r="N113" s="190"/>
      <c r="O113" s="190"/>
      <c r="P113" s="190"/>
      <c r="Q113" s="190"/>
      <c r="R113" s="190"/>
      <c r="S113" s="190"/>
      <c r="T113" s="190"/>
      <c r="U113" s="190"/>
      <c r="V113" s="190"/>
      <c r="W113" s="190"/>
      <c r="X113" s="190"/>
      <c r="Y113" s="190"/>
      <c r="Z113" s="190"/>
    </row>
    <row r="114">
      <c r="A114" s="190"/>
      <c r="B114" s="265"/>
      <c r="J114" s="190"/>
      <c r="K114" s="190"/>
      <c r="L114" s="190"/>
      <c r="M114" s="190"/>
      <c r="N114" s="190"/>
      <c r="O114" s="190"/>
      <c r="P114" s="190"/>
      <c r="Q114" s="190"/>
      <c r="R114" s="190"/>
      <c r="S114" s="190"/>
      <c r="T114" s="190"/>
      <c r="U114" s="190"/>
      <c r="V114" s="190"/>
      <c r="W114" s="190"/>
      <c r="X114" s="190"/>
      <c r="Y114" s="190"/>
      <c r="Z114" s="190"/>
    </row>
    <row r="115">
      <c r="A115" s="190"/>
      <c r="B115" s="261" t="s">
        <v>742</v>
      </c>
      <c r="J115" s="190"/>
      <c r="K115" s="190"/>
      <c r="L115" s="190"/>
      <c r="M115" s="190"/>
      <c r="N115" s="190"/>
      <c r="O115" s="190"/>
      <c r="P115" s="190"/>
      <c r="Q115" s="190"/>
      <c r="R115" s="190"/>
      <c r="S115" s="190"/>
      <c r="T115" s="190"/>
      <c r="U115" s="190"/>
      <c r="V115" s="190"/>
      <c r="W115" s="190"/>
      <c r="X115" s="190"/>
      <c r="Y115" s="190"/>
      <c r="Z115" s="190"/>
    </row>
    <row r="116">
      <c r="A116" s="190"/>
      <c r="B116" s="265"/>
      <c r="J116" s="190"/>
      <c r="K116" s="190"/>
      <c r="L116" s="190"/>
      <c r="M116" s="190"/>
      <c r="N116" s="190"/>
      <c r="O116" s="190"/>
      <c r="P116" s="190"/>
      <c r="Q116" s="190"/>
      <c r="R116" s="190"/>
      <c r="S116" s="190"/>
      <c r="T116" s="190"/>
      <c r="U116" s="190"/>
      <c r="V116" s="190"/>
      <c r="W116" s="190"/>
      <c r="X116" s="190"/>
      <c r="Y116" s="190"/>
      <c r="Z116" s="190"/>
    </row>
    <row r="117">
      <c r="A117" s="190"/>
      <c r="B117" s="262" t="s">
        <v>691</v>
      </c>
      <c r="C117" s="258" t="s">
        <v>743</v>
      </c>
      <c r="J117" s="190"/>
      <c r="K117" s="190"/>
      <c r="L117" s="190"/>
      <c r="M117" s="190"/>
      <c r="N117" s="190"/>
      <c r="O117" s="190"/>
      <c r="P117" s="190"/>
      <c r="Q117" s="190"/>
      <c r="R117" s="190"/>
      <c r="S117" s="190"/>
      <c r="T117" s="190"/>
      <c r="U117" s="190"/>
      <c r="V117" s="190"/>
      <c r="W117" s="190"/>
      <c r="X117" s="190"/>
      <c r="Y117" s="190"/>
      <c r="Z117" s="190"/>
    </row>
    <row r="118">
      <c r="A118" s="190"/>
      <c r="B118" s="262" t="s">
        <v>693</v>
      </c>
      <c r="C118" s="258" t="s">
        <v>744</v>
      </c>
      <c r="J118" s="190"/>
      <c r="K118" s="190"/>
      <c r="L118" s="190"/>
      <c r="M118" s="190"/>
      <c r="N118" s="190"/>
      <c r="O118" s="190"/>
      <c r="P118" s="190"/>
      <c r="Q118" s="190"/>
      <c r="R118" s="190"/>
      <c r="S118" s="190"/>
      <c r="T118" s="190"/>
      <c r="U118" s="190"/>
      <c r="V118" s="190"/>
      <c r="W118" s="190"/>
      <c r="X118" s="190"/>
      <c r="Y118" s="190"/>
      <c r="Z118" s="190"/>
    </row>
    <row r="119">
      <c r="A119" s="190"/>
      <c r="B119" s="262" t="s">
        <v>695</v>
      </c>
      <c r="C119" s="258" t="s">
        <v>745</v>
      </c>
      <c r="J119" s="190"/>
      <c r="K119" s="190"/>
      <c r="L119" s="190"/>
      <c r="M119" s="190"/>
      <c r="N119" s="190"/>
      <c r="O119" s="190"/>
      <c r="P119" s="190"/>
      <c r="Q119" s="190"/>
      <c r="R119" s="190"/>
      <c r="S119" s="190"/>
      <c r="T119" s="190"/>
      <c r="U119" s="190"/>
      <c r="V119" s="190"/>
      <c r="W119" s="190"/>
      <c r="X119" s="190"/>
      <c r="Y119" s="190"/>
      <c r="Z119" s="190"/>
    </row>
    <row r="120">
      <c r="A120" s="190"/>
      <c r="B120" s="265"/>
      <c r="J120" s="190"/>
      <c r="K120" s="190"/>
      <c r="L120" s="190"/>
      <c r="M120" s="190"/>
      <c r="N120" s="190"/>
      <c r="O120" s="190"/>
      <c r="P120" s="190"/>
      <c r="Q120" s="190"/>
      <c r="R120" s="190"/>
      <c r="S120" s="190"/>
      <c r="T120" s="190"/>
      <c r="U120" s="190"/>
      <c r="V120" s="190"/>
      <c r="W120" s="190"/>
      <c r="X120" s="190"/>
      <c r="Y120" s="190"/>
      <c r="Z120" s="190"/>
    </row>
    <row r="121">
      <c r="A121" s="190"/>
      <c r="B121" s="261" t="s">
        <v>746</v>
      </c>
      <c r="J121" s="190"/>
      <c r="K121" s="190"/>
      <c r="L121" s="190"/>
      <c r="M121" s="190"/>
      <c r="N121" s="190"/>
      <c r="O121" s="190"/>
      <c r="P121" s="190"/>
      <c r="Q121" s="190"/>
      <c r="R121" s="190"/>
      <c r="S121" s="190"/>
      <c r="T121" s="190"/>
      <c r="U121" s="190"/>
      <c r="V121" s="190"/>
      <c r="W121" s="190"/>
      <c r="X121" s="190"/>
      <c r="Y121" s="190"/>
      <c r="Z121" s="190"/>
    </row>
    <row r="122">
      <c r="A122" s="190"/>
      <c r="B122" s="265"/>
      <c r="J122" s="190"/>
      <c r="K122" s="190"/>
      <c r="L122" s="190"/>
      <c r="M122" s="190"/>
      <c r="N122" s="190"/>
      <c r="O122" s="190"/>
      <c r="P122" s="190"/>
      <c r="Q122" s="190"/>
      <c r="R122" s="190"/>
      <c r="S122" s="190"/>
      <c r="T122" s="190"/>
      <c r="U122" s="190"/>
      <c r="V122" s="190"/>
      <c r="W122" s="190"/>
      <c r="X122" s="190"/>
      <c r="Y122" s="190"/>
      <c r="Z122" s="190"/>
    </row>
    <row r="123">
      <c r="A123" s="190"/>
      <c r="B123" s="262" t="s">
        <v>691</v>
      </c>
      <c r="C123" s="258" t="s">
        <v>747</v>
      </c>
      <c r="J123" s="190"/>
      <c r="K123" s="190"/>
      <c r="L123" s="190"/>
      <c r="M123" s="190"/>
      <c r="N123" s="190"/>
      <c r="O123" s="190"/>
      <c r="P123" s="190"/>
      <c r="Q123" s="190"/>
      <c r="R123" s="190"/>
      <c r="S123" s="190"/>
      <c r="T123" s="190"/>
      <c r="U123" s="190"/>
      <c r="V123" s="190"/>
      <c r="W123" s="190"/>
      <c r="X123" s="190"/>
      <c r="Y123" s="190"/>
      <c r="Z123" s="190"/>
    </row>
    <row r="124">
      <c r="A124" s="190"/>
      <c r="B124" s="262" t="s">
        <v>693</v>
      </c>
      <c r="C124" s="258" t="s">
        <v>748</v>
      </c>
      <c r="J124" s="190"/>
      <c r="K124" s="190"/>
      <c r="L124" s="190"/>
      <c r="M124" s="190"/>
      <c r="N124" s="190"/>
      <c r="O124" s="190"/>
      <c r="P124" s="190"/>
      <c r="Q124" s="190"/>
      <c r="R124" s="190"/>
      <c r="S124" s="190"/>
      <c r="T124" s="190"/>
      <c r="U124" s="190"/>
      <c r="V124" s="190"/>
      <c r="W124" s="190"/>
      <c r="X124" s="190"/>
      <c r="Y124" s="190"/>
      <c r="Z124" s="190"/>
    </row>
    <row r="125">
      <c r="A125" s="190"/>
      <c r="B125" s="262" t="s">
        <v>695</v>
      </c>
      <c r="C125" s="258" t="s">
        <v>749</v>
      </c>
      <c r="J125" s="190"/>
      <c r="K125" s="190"/>
      <c r="L125" s="190"/>
      <c r="M125" s="190"/>
      <c r="N125" s="190"/>
      <c r="O125" s="190"/>
      <c r="P125" s="190"/>
      <c r="Q125" s="190"/>
      <c r="R125" s="190"/>
      <c r="S125" s="190"/>
      <c r="T125" s="190"/>
      <c r="U125" s="190"/>
      <c r="V125" s="190"/>
      <c r="W125" s="190"/>
      <c r="X125" s="190"/>
      <c r="Y125" s="190"/>
      <c r="Z125" s="190"/>
    </row>
    <row r="126">
      <c r="A126" s="190"/>
      <c r="B126" s="262" t="s">
        <v>703</v>
      </c>
      <c r="C126" s="258" t="s">
        <v>750</v>
      </c>
      <c r="J126" s="190"/>
      <c r="K126" s="190"/>
      <c r="L126" s="190"/>
      <c r="M126" s="190"/>
      <c r="N126" s="190"/>
      <c r="O126" s="190"/>
      <c r="P126" s="190"/>
      <c r="Q126" s="190"/>
      <c r="R126" s="190"/>
      <c r="S126" s="190"/>
      <c r="T126" s="190"/>
      <c r="U126" s="190"/>
      <c r="V126" s="190"/>
      <c r="W126" s="190"/>
      <c r="X126" s="190"/>
      <c r="Y126" s="190"/>
      <c r="Z126" s="190"/>
    </row>
    <row r="127">
      <c r="A127" s="190"/>
      <c r="B127" s="262" t="s">
        <v>718</v>
      </c>
      <c r="C127" s="258" t="s">
        <v>751</v>
      </c>
      <c r="J127" s="190"/>
      <c r="K127" s="190"/>
      <c r="L127" s="190"/>
      <c r="M127" s="190"/>
      <c r="N127" s="190"/>
      <c r="O127" s="190"/>
      <c r="P127" s="190"/>
      <c r="Q127" s="190"/>
      <c r="R127" s="190"/>
      <c r="S127" s="190"/>
      <c r="T127" s="190"/>
      <c r="U127" s="190"/>
      <c r="V127" s="190"/>
      <c r="W127" s="190"/>
      <c r="X127" s="190"/>
      <c r="Y127" s="190"/>
      <c r="Z127" s="190"/>
    </row>
    <row r="128">
      <c r="A128" s="190"/>
      <c r="B128" s="262" t="s">
        <v>752</v>
      </c>
      <c r="C128" s="258" t="s">
        <v>753</v>
      </c>
      <c r="J128" s="190"/>
      <c r="K128" s="190"/>
      <c r="L128" s="190"/>
      <c r="M128" s="190"/>
      <c r="N128" s="190"/>
      <c r="O128" s="190"/>
      <c r="P128" s="190"/>
      <c r="Q128" s="190"/>
      <c r="R128" s="190"/>
      <c r="S128" s="190"/>
      <c r="T128" s="190"/>
      <c r="U128" s="190"/>
      <c r="V128" s="190"/>
      <c r="W128" s="190"/>
      <c r="X128" s="190"/>
      <c r="Y128" s="190"/>
      <c r="Z128" s="190"/>
    </row>
    <row r="129">
      <c r="A129" s="190"/>
      <c r="B129" s="265"/>
      <c r="J129" s="190"/>
      <c r="K129" s="190"/>
      <c r="L129" s="190"/>
      <c r="M129" s="190"/>
      <c r="N129" s="190"/>
      <c r="O129" s="190"/>
      <c r="P129" s="190"/>
      <c r="Q129" s="190"/>
      <c r="R129" s="190"/>
      <c r="S129" s="190"/>
      <c r="T129" s="190"/>
      <c r="U129" s="190"/>
      <c r="V129" s="190"/>
      <c r="W129" s="190"/>
      <c r="X129" s="190"/>
      <c r="Y129" s="190"/>
      <c r="Z129" s="190"/>
    </row>
    <row r="130">
      <c r="A130" s="190"/>
      <c r="B130" s="261" t="s">
        <v>754</v>
      </c>
      <c r="J130" s="190"/>
      <c r="K130" s="190"/>
      <c r="L130" s="190"/>
      <c r="M130" s="190"/>
      <c r="N130" s="190"/>
      <c r="O130" s="190"/>
      <c r="P130" s="190"/>
      <c r="Q130" s="190"/>
      <c r="R130" s="190"/>
      <c r="S130" s="190"/>
      <c r="T130" s="190"/>
      <c r="U130" s="190"/>
      <c r="V130" s="190"/>
      <c r="W130" s="190"/>
      <c r="X130" s="190"/>
      <c r="Y130" s="190"/>
      <c r="Z130" s="190"/>
    </row>
    <row r="131">
      <c r="A131" s="190"/>
      <c r="B131" s="265"/>
      <c r="J131" s="190"/>
      <c r="K131" s="190"/>
      <c r="L131" s="190"/>
      <c r="M131" s="190"/>
      <c r="N131" s="190"/>
      <c r="O131" s="190"/>
      <c r="P131" s="190"/>
      <c r="Q131" s="190"/>
      <c r="R131" s="190"/>
      <c r="S131" s="190"/>
      <c r="T131" s="190"/>
      <c r="U131" s="190"/>
      <c r="V131" s="190"/>
      <c r="W131" s="190"/>
      <c r="X131" s="190"/>
      <c r="Y131" s="190"/>
      <c r="Z131" s="190"/>
    </row>
    <row r="132">
      <c r="A132" s="190"/>
      <c r="B132" s="262" t="s">
        <v>691</v>
      </c>
      <c r="C132" s="258" t="s">
        <v>755</v>
      </c>
      <c r="J132" s="190"/>
      <c r="K132" s="190"/>
      <c r="L132" s="190"/>
      <c r="M132" s="190"/>
      <c r="N132" s="190"/>
      <c r="O132" s="190"/>
      <c r="P132" s="190"/>
      <c r="Q132" s="190"/>
      <c r="R132" s="190"/>
      <c r="S132" s="190"/>
      <c r="T132" s="190"/>
      <c r="U132" s="190"/>
      <c r="V132" s="190"/>
      <c r="W132" s="190"/>
      <c r="X132" s="190"/>
      <c r="Y132" s="190"/>
      <c r="Z132" s="190"/>
    </row>
    <row r="133">
      <c r="A133" s="190"/>
      <c r="B133" s="262" t="s">
        <v>693</v>
      </c>
      <c r="C133" s="258" t="s">
        <v>756</v>
      </c>
      <c r="J133" s="190"/>
      <c r="K133" s="190"/>
      <c r="L133" s="190"/>
      <c r="M133" s="190"/>
      <c r="N133" s="190"/>
      <c r="O133" s="190"/>
      <c r="P133" s="190"/>
      <c r="Q133" s="190"/>
      <c r="R133" s="190"/>
      <c r="S133" s="190"/>
      <c r="T133" s="190"/>
      <c r="U133" s="190"/>
      <c r="V133" s="190"/>
      <c r="W133" s="190"/>
      <c r="X133" s="190"/>
      <c r="Y133" s="190"/>
      <c r="Z133" s="190"/>
    </row>
    <row r="134">
      <c r="A134" s="190"/>
      <c r="B134" s="262" t="s">
        <v>695</v>
      </c>
      <c r="C134" s="258" t="s">
        <v>757</v>
      </c>
      <c r="J134" s="190"/>
      <c r="K134" s="190"/>
      <c r="L134" s="190"/>
      <c r="M134" s="190"/>
      <c r="N134" s="190"/>
      <c r="O134" s="190"/>
      <c r="P134" s="190"/>
      <c r="Q134" s="190"/>
      <c r="R134" s="190"/>
      <c r="S134" s="190"/>
      <c r="T134" s="190"/>
      <c r="U134" s="190"/>
      <c r="V134" s="190"/>
      <c r="W134" s="190"/>
      <c r="X134" s="190"/>
      <c r="Y134" s="190"/>
      <c r="Z134" s="190"/>
    </row>
    <row r="135">
      <c r="A135" s="190"/>
      <c r="B135" s="265"/>
      <c r="J135" s="190"/>
      <c r="K135" s="190"/>
      <c r="L135" s="190"/>
      <c r="M135" s="190"/>
      <c r="N135" s="190"/>
      <c r="O135" s="190"/>
      <c r="P135" s="190"/>
      <c r="Q135" s="190"/>
      <c r="R135" s="190"/>
      <c r="S135" s="190"/>
      <c r="T135" s="190"/>
      <c r="U135" s="190"/>
      <c r="V135" s="190"/>
      <c r="W135" s="190"/>
      <c r="X135" s="190"/>
      <c r="Y135" s="190"/>
      <c r="Z135" s="190"/>
    </row>
    <row r="136">
      <c r="A136" s="190"/>
      <c r="B136" s="261" t="s">
        <v>758</v>
      </c>
      <c r="J136" s="190"/>
      <c r="K136" s="190"/>
      <c r="L136" s="190"/>
      <c r="M136" s="190"/>
      <c r="N136" s="190"/>
      <c r="O136" s="190"/>
      <c r="P136" s="190"/>
      <c r="Q136" s="190"/>
      <c r="R136" s="190"/>
      <c r="S136" s="190"/>
      <c r="T136" s="190"/>
      <c r="U136" s="190"/>
      <c r="V136" s="190"/>
      <c r="W136" s="190"/>
      <c r="X136" s="190"/>
      <c r="Y136" s="190"/>
      <c r="Z136" s="190"/>
    </row>
    <row r="137">
      <c r="A137" s="190"/>
      <c r="B137" s="265"/>
      <c r="J137" s="190"/>
      <c r="K137" s="190"/>
      <c r="L137" s="190"/>
      <c r="M137" s="190"/>
      <c r="N137" s="190"/>
      <c r="O137" s="190"/>
      <c r="P137" s="190"/>
      <c r="Q137" s="190"/>
      <c r="R137" s="190"/>
      <c r="S137" s="190"/>
      <c r="T137" s="190"/>
      <c r="U137" s="190"/>
      <c r="V137" s="190"/>
      <c r="W137" s="190"/>
      <c r="X137" s="190"/>
      <c r="Y137" s="190"/>
      <c r="Z137" s="190"/>
    </row>
    <row r="138">
      <c r="A138" s="190"/>
      <c r="B138" s="256" t="s">
        <v>759</v>
      </c>
      <c r="J138" s="190"/>
      <c r="K138" s="190"/>
      <c r="L138" s="190"/>
      <c r="M138" s="190"/>
      <c r="N138" s="190"/>
      <c r="O138" s="190"/>
      <c r="P138" s="190"/>
      <c r="Q138" s="190"/>
      <c r="R138" s="190"/>
      <c r="S138" s="190"/>
      <c r="T138" s="190"/>
      <c r="U138" s="190"/>
      <c r="V138" s="190"/>
      <c r="W138" s="190"/>
      <c r="X138" s="190"/>
      <c r="Y138" s="190"/>
      <c r="Z138" s="190"/>
    </row>
    <row r="139">
      <c r="A139" s="190"/>
      <c r="B139" s="256" t="s">
        <v>760</v>
      </c>
      <c r="J139" s="190"/>
      <c r="K139" s="190"/>
      <c r="L139" s="190"/>
      <c r="M139" s="190"/>
      <c r="N139" s="190"/>
      <c r="O139" s="190"/>
      <c r="P139" s="190"/>
      <c r="Q139" s="190"/>
      <c r="R139" s="190"/>
      <c r="S139" s="190"/>
      <c r="T139" s="190"/>
      <c r="U139" s="190"/>
      <c r="V139" s="190"/>
      <c r="W139" s="190"/>
      <c r="X139" s="190"/>
      <c r="Y139" s="190"/>
      <c r="Z139" s="190"/>
    </row>
    <row r="140">
      <c r="A140" s="190"/>
      <c r="B140" s="265"/>
      <c r="J140" s="190"/>
      <c r="K140" s="190"/>
      <c r="L140" s="190"/>
      <c r="M140" s="190"/>
      <c r="N140" s="190"/>
      <c r="O140" s="190"/>
      <c r="P140" s="190"/>
      <c r="Q140" s="190"/>
      <c r="R140" s="190"/>
      <c r="S140" s="190"/>
      <c r="T140" s="190"/>
      <c r="U140" s="190"/>
      <c r="V140" s="190"/>
      <c r="W140" s="190"/>
      <c r="X140" s="190"/>
      <c r="Y140" s="190"/>
      <c r="Z140" s="190"/>
    </row>
    <row r="141">
      <c r="A141" s="190"/>
      <c r="B141" s="261" t="s">
        <v>761</v>
      </c>
      <c r="J141" s="190"/>
      <c r="K141" s="190"/>
      <c r="L141" s="190"/>
      <c r="M141" s="190"/>
      <c r="N141" s="190"/>
      <c r="O141" s="190"/>
      <c r="P141" s="190"/>
      <c r="Q141" s="190"/>
      <c r="R141" s="190"/>
      <c r="S141" s="190"/>
      <c r="T141" s="190"/>
      <c r="U141" s="190"/>
      <c r="V141" s="190"/>
      <c r="W141" s="190"/>
      <c r="X141" s="190"/>
      <c r="Y141" s="190"/>
      <c r="Z141" s="190"/>
    </row>
    <row r="142">
      <c r="A142" s="190"/>
      <c r="B142" s="265"/>
      <c r="J142" s="190"/>
      <c r="K142" s="190"/>
      <c r="L142" s="190"/>
      <c r="M142" s="190"/>
      <c r="N142" s="190"/>
      <c r="O142" s="190"/>
      <c r="P142" s="190"/>
      <c r="Q142" s="190"/>
      <c r="R142" s="190"/>
      <c r="S142" s="190"/>
      <c r="T142" s="190"/>
      <c r="U142" s="190"/>
      <c r="V142" s="190"/>
      <c r="W142" s="190"/>
      <c r="X142" s="190"/>
      <c r="Y142" s="190"/>
      <c r="Z142" s="190"/>
    </row>
    <row r="143">
      <c r="A143" s="190"/>
      <c r="B143" s="256" t="s">
        <v>762</v>
      </c>
      <c r="J143" s="190"/>
      <c r="K143" s="190"/>
      <c r="L143" s="190"/>
      <c r="M143" s="190"/>
      <c r="N143" s="190"/>
      <c r="O143" s="190"/>
      <c r="P143" s="190"/>
      <c r="Q143" s="190"/>
      <c r="R143" s="190"/>
      <c r="S143" s="190"/>
      <c r="T143" s="190"/>
      <c r="U143" s="190"/>
      <c r="V143" s="190"/>
      <c r="W143" s="190"/>
      <c r="X143" s="190"/>
      <c r="Y143" s="190"/>
      <c r="Z143" s="190"/>
    </row>
    <row r="144">
      <c r="A144" s="190"/>
      <c r="B144" s="262" t="s">
        <v>673</v>
      </c>
      <c r="C144" s="256" t="s">
        <v>763</v>
      </c>
      <c r="J144" s="190"/>
      <c r="K144" s="190"/>
      <c r="L144" s="190"/>
      <c r="M144" s="190"/>
      <c r="N144" s="190"/>
      <c r="O144" s="190"/>
      <c r="P144" s="190"/>
      <c r="Q144" s="190"/>
      <c r="R144" s="190"/>
      <c r="S144" s="190"/>
      <c r="T144" s="190"/>
      <c r="U144" s="190"/>
      <c r="V144" s="190"/>
      <c r="W144" s="190"/>
      <c r="X144" s="190"/>
      <c r="Y144" s="190"/>
      <c r="Z144" s="190"/>
    </row>
    <row r="145">
      <c r="A145" s="190"/>
      <c r="B145" s="262" t="s">
        <v>673</v>
      </c>
      <c r="C145" s="256" t="s">
        <v>764</v>
      </c>
      <c r="J145" s="190"/>
      <c r="K145" s="190"/>
      <c r="L145" s="190"/>
      <c r="M145" s="190"/>
      <c r="N145" s="190"/>
      <c r="O145" s="190"/>
      <c r="P145" s="190"/>
      <c r="Q145" s="190"/>
      <c r="R145" s="190"/>
      <c r="S145" s="190"/>
      <c r="T145" s="190"/>
      <c r="U145" s="190"/>
      <c r="V145" s="190"/>
      <c r="W145" s="190"/>
      <c r="X145" s="190"/>
      <c r="Y145" s="190"/>
      <c r="Z145" s="190"/>
    </row>
    <row r="146">
      <c r="A146" s="190"/>
      <c r="B146" s="262" t="s">
        <v>673</v>
      </c>
      <c r="C146" s="256" t="s">
        <v>765</v>
      </c>
      <c r="J146" s="190"/>
      <c r="K146" s="190"/>
      <c r="L146" s="190"/>
      <c r="M146" s="190"/>
      <c r="N146" s="190"/>
      <c r="O146" s="190"/>
      <c r="P146" s="190"/>
      <c r="Q146" s="190"/>
      <c r="R146" s="190"/>
      <c r="S146" s="190"/>
      <c r="T146" s="190"/>
      <c r="U146" s="190"/>
      <c r="V146" s="190"/>
      <c r="W146" s="190"/>
      <c r="X146" s="190"/>
      <c r="Y146" s="190"/>
      <c r="Z146" s="190"/>
    </row>
    <row r="147">
      <c r="A147" s="190"/>
      <c r="B147" s="256" t="s">
        <v>766</v>
      </c>
      <c r="J147" s="190"/>
      <c r="K147" s="190"/>
      <c r="L147" s="190"/>
      <c r="M147" s="190"/>
      <c r="N147" s="190"/>
      <c r="O147" s="190"/>
      <c r="P147" s="190"/>
      <c r="Q147" s="190"/>
      <c r="R147" s="190"/>
      <c r="S147" s="190"/>
      <c r="T147" s="190"/>
      <c r="U147" s="190"/>
      <c r="V147" s="190"/>
      <c r="W147" s="190"/>
      <c r="X147" s="190"/>
      <c r="Y147" s="190"/>
      <c r="Z147" s="190"/>
    </row>
    <row r="148">
      <c r="A148" s="190"/>
      <c r="B148" s="265"/>
      <c r="J148" s="190"/>
      <c r="K148" s="190"/>
      <c r="L148" s="190"/>
      <c r="M148" s="190"/>
      <c r="N148" s="190"/>
      <c r="O148" s="190"/>
      <c r="P148" s="190"/>
      <c r="Q148" s="190"/>
      <c r="R148" s="190"/>
      <c r="S148" s="190"/>
      <c r="T148" s="190"/>
      <c r="U148" s="190"/>
      <c r="V148" s="190"/>
      <c r="W148" s="190"/>
      <c r="X148" s="190"/>
      <c r="Y148" s="190"/>
      <c r="Z148" s="190"/>
    </row>
    <row r="149">
      <c r="A149" s="190"/>
      <c r="B149" s="261" t="s">
        <v>767</v>
      </c>
      <c r="J149" s="190"/>
      <c r="K149" s="190"/>
      <c r="L149" s="190"/>
      <c r="M149" s="190"/>
      <c r="N149" s="190"/>
      <c r="O149" s="190"/>
      <c r="P149" s="190"/>
      <c r="Q149" s="190"/>
      <c r="R149" s="190"/>
      <c r="S149" s="190"/>
      <c r="T149" s="190"/>
      <c r="U149" s="190"/>
      <c r="V149" s="190"/>
      <c r="W149" s="190"/>
      <c r="X149" s="190"/>
      <c r="Y149" s="190"/>
      <c r="Z149" s="190"/>
    </row>
    <row r="150">
      <c r="A150" s="190"/>
      <c r="B150" s="265"/>
      <c r="J150" s="190"/>
      <c r="K150" s="190"/>
      <c r="L150" s="190"/>
      <c r="M150" s="190"/>
      <c r="N150" s="190"/>
      <c r="O150" s="190"/>
      <c r="P150" s="190"/>
      <c r="Q150" s="190"/>
      <c r="R150" s="190"/>
      <c r="S150" s="190"/>
      <c r="T150" s="190"/>
      <c r="U150" s="190"/>
      <c r="V150" s="190"/>
      <c r="W150" s="190"/>
      <c r="X150" s="190"/>
      <c r="Y150" s="190"/>
      <c r="Z150" s="190"/>
    </row>
    <row r="151">
      <c r="A151" s="190"/>
      <c r="B151" s="256" t="s">
        <v>768</v>
      </c>
      <c r="J151" s="190"/>
      <c r="K151" s="190"/>
      <c r="L151" s="190"/>
      <c r="M151" s="190"/>
      <c r="N151" s="190"/>
      <c r="O151" s="190"/>
      <c r="P151" s="190"/>
      <c r="Q151" s="190"/>
      <c r="R151" s="190"/>
      <c r="S151" s="190"/>
      <c r="T151" s="190"/>
      <c r="U151" s="190"/>
      <c r="V151" s="190"/>
      <c r="W151" s="190"/>
      <c r="X151" s="190"/>
      <c r="Y151" s="190"/>
      <c r="Z151" s="190"/>
    </row>
    <row r="152">
      <c r="A152" s="190"/>
      <c r="B152" s="262" t="s">
        <v>673</v>
      </c>
      <c r="C152" s="256" t="s">
        <v>769</v>
      </c>
      <c r="J152" s="190"/>
      <c r="K152" s="190"/>
      <c r="L152" s="190"/>
      <c r="M152" s="190"/>
      <c r="N152" s="190"/>
      <c r="O152" s="190"/>
      <c r="P152" s="190"/>
      <c r="Q152" s="190"/>
      <c r="R152" s="190"/>
      <c r="S152" s="190"/>
      <c r="T152" s="190"/>
      <c r="U152" s="190"/>
      <c r="V152" s="190"/>
      <c r="W152" s="190"/>
      <c r="X152" s="190"/>
      <c r="Y152" s="190"/>
      <c r="Z152" s="190"/>
    </row>
    <row r="153">
      <c r="A153" s="190"/>
      <c r="B153" s="262" t="s">
        <v>673</v>
      </c>
      <c r="C153" s="256" t="s">
        <v>770</v>
      </c>
      <c r="J153" s="190"/>
      <c r="K153" s="190"/>
      <c r="L153" s="190"/>
      <c r="M153" s="190"/>
      <c r="N153" s="190"/>
      <c r="O153" s="190"/>
      <c r="P153" s="190"/>
      <c r="Q153" s="190"/>
      <c r="R153" s="190"/>
      <c r="S153" s="190"/>
      <c r="T153" s="190"/>
      <c r="U153" s="190"/>
      <c r="V153" s="190"/>
      <c r="W153" s="190"/>
      <c r="X153" s="190"/>
      <c r="Y153" s="190"/>
      <c r="Z153" s="190"/>
    </row>
    <row r="154">
      <c r="A154" s="190"/>
      <c r="B154" s="256" t="s">
        <v>771</v>
      </c>
      <c r="J154" s="190"/>
      <c r="K154" s="190"/>
      <c r="L154" s="190"/>
      <c r="M154" s="190"/>
      <c r="N154" s="190"/>
      <c r="O154" s="190"/>
      <c r="P154" s="190"/>
      <c r="Q154" s="190"/>
      <c r="R154" s="190"/>
      <c r="S154" s="190"/>
      <c r="T154" s="190"/>
      <c r="U154" s="190"/>
      <c r="V154" s="190"/>
      <c r="W154" s="190"/>
      <c r="X154" s="190"/>
      <c r="Y154" s="190"/>
      <c r="Z154" s="190"/>
    </row>
    <row r="155">
      <c r="A155" s="190"/>
      <c r="B155" s="265"/>
      <c r="J155" s="190"/>
      <c r="K155" s="190"/>
      <c r="L155" s="190"/>
      <c r="M155" s="190"/>
      <c r="N155" s="190"/>
      <c r="O155" s="190"/>
      <c r="P155" s="190"/>
      <c r="Q155" s="190"/>
      <c r="R155" s="190"/>
      <c r="S155" s="190"/>
      <c r="T155" s="190"/>
      <c r="U155" s="190"/>
      <c r="V155" s="190"/>
      <c r="W155" s="190"/>
      <c r="X155" s="190"/>
      <c r="Y155" s="190"/>
      <c r="Z155" s="190"/>
    </row>
    <row r="156">
      <c r="A156" s="190"/>
      <c r="B156" s="261" t="s">
        <v>772</v>
      </c>
      <c r="J156" s="190"/>
      <c r="K156" s="190"/>
      <c r="L156" s="190"/>
      <c r="M156" s="190"/>
      <c r="N156" s="190"/>
      <c r="O156" s="190"/>
      <c r="P156" s="190"/>
      <c r="Q156" s="190"/>
      <c r="R156" s="190"/>
      <c r="S156" s="190"/>
      <c r="T156" s="190"/>
      <c r="U156" s="190"/>
      <c r="V156" s="190"/>
      <c r="W156" s="190"/>
      <c r="X156" s="190"/>
      <c r="Y156" s="190"/>
      <c r="Z156" s="190"/>
    </row>
    <row r="157">
      <c r="A157" s="190"/>
      <c r="B157" s="265"/>
      <c r="J157" s="190"/>
      <c r="K157" s="190"/>
      <c r="L157" s="190"/>
      <c r="M157" s="190"/>
      <c r="N157" s="190"/>
      <c r="O157" s="190"/>
      <c r="P157" s="190"/>
      <c r="Q157" s="190"/>
      <c r="R157" s="190"/>
      <c r="S157" s="190"/>
      <c r="T157" s="190"/>
      <c r="U157" s="190"/>
      <c r="V157" s="190"/>
      <c r="W157" s="190"/>
      <c r="X157" s="190"/>
      <c r="Y157" s="190"/>
      <c r="Z157" s="190"/>
    </row>
    <row r="158">
      <c r="A158" s="190"/>
      <c r="B158" s="256" t="s">
        <v>773</v>
      </c>
      <c r="J158" s="190"/>
      <c r="K158" s="190"/>
      <c r="L158" s="190"/>
      <c r="M158" s="190"/>
      <c r="N158" s="190"/>
      <c r="O158" s="190"/>
      <c r="P158" s="190"/>
      <c r="Q158" s="190"/>
      <c r="R158" s="190"/>
      <c r="S158" s="190"/>
      <c r="T158" s="190"/>
      <c r="U158" s="190"/>
      <c r="V158" s="190"/>
      <c r="W158" s="190"/>
      <c r="X158" s="190"/>
      <c r="Y158" s="190"/>
      <c r="Z158" s="190"/>
    </row>
    <row r="159">
      <c r="A159" s="190"/>
      <c r="B159" s="262" t="s">
        <v>673</v>
      </c>
      <c r="C159" s="256" t="s">
        <v>774</v>
      </c>
      <c r="J159" s="190"/>
      <c r="K159" s="190"/>
      <c r="L159" s="190"/>
      <c r="M159" s="190"/>
      <c r="N159" s="190"/>
      <c r="O159" s="190"/>
      <c r="P159" s="190"/>
      <c r="Q159" s="190"/>
      <c r="R159" s="190"/>
      <c r="S159" s="190"/>
      <c r="T159" s="190"/>
      <c r="U159" s="190"/>
      <c r="V159" s="190"/>
      <c r="W159" s="190"/>
      <c r="X159" s="190"/>
      <c r="Y159" s="190"/>
      <c r="Z159" s="190"/>
    </row>
    <row r="160">
      <c r="A160" s="190"/>
      <c r="B160" s="262" t="s">
        <v>673</v>
      </c>
      <c r="C160" s="256" t="s">
        <v>775</v>
      </c>
      <c r="J160" s="190"/>
      <c r="K160" s="190"/>
      <c r="L160" s="190"/>
      <c r="M160" s="190"/>
      <c r="N160" s="190"/>
      <c r="O160" s="190"/>
      <c r="P160" s="190"/>
      <c r="Q160" s="190"/>
      <c r="R160" s="190"/>
      <c r="S160" s="190"/>
      <c r="T160" s="190"/>
      <c r="U160" s="190"/>
      <c r="V160" s="190"/>
      <c r="W160" s="190"/>
      <c r="X160" s="190"/>
      <c r="Y160" s="190"/>
      <c r="Z160" s="190"/>
    </row>
    <row r="161">
      <c r="A161" s="190"/>
      <c r="B161" s="262" t="s">
        <v>673</v>
      </c>
      <c r="C161" s="256" t="s">
        <v>776</v>
      </c>
      <c r="J161" s="190"/>
      <c r="K161" s="190"/>
      <c r="L161" s="190"/>
      <c r="M161" s="190"/>
      <c r="N161" s="190"/>
      <c r="O161" s="190"/>
      <c r="P161" s="190"/>
      <c r="Q161" s="190"/>
      <c r="R161" s="190"/>
      <c r="S161" s="190"/>
      <c r="T161" s="190"/>
      <c r="U161" s="190"/>
      <c r="V161" s="190"/>
      <c r="W161" s="190"/>
      <c r="X161" s="190"/>
      <c r="Y161" s="190"/>
      <c r="Z161" s="190"/>
    </row>
    <row r="162">
      <c r="A162" s="190"/>
      <c r="B162" s="262" t="s">
        <v>673</v>
      </c>
      <c r="C162" s="256" t="s">
        <v>777</v>
      </c>
      <c r="J162" s="190"/>
      <c r="K162" s="190"/>
      <c r="L162" s="190"/>
      <c r="M162" s="190"/>
      <c r="N162" s="190"/>
      <c r="O162" s="190"/>
      <c r="P162" s="190"/>
      <c r="Q162" s="190"/>
      <c r="R162" s="190"/>
      <c r="S162" s="190"/>
      <c r="T162" s="190"/>
      <c r="U162" s="190"/>
      <c r="V162" s="190"/>
      <c r="W162" s="190"/>
      <c r="X162" s="190"/>
      <c r="Y162" s="190"/>
      <c r="Z162" s="190"/>
    </row>
    <row r="163">
      <c r="A163" s="190"/>
      <c r="B163" s="265"/>
      <c r="J163" s="190"/>
      <c r="K163" s="190"/>
      <c r="L163" s="190"/>
      <c r="M163" s="190"/>
      <c r="N163" s="190"/>
      <c r="O163" s="190"/>
      <c r="P163" s="190"/>
      <c r="Q163" s="190"/>
      <c r="R163" s="190"/>
      <c r="S163" s="190"/>
      <c r="T163" s="190"/>
      <c r="U163" s="190"/>
      <c r="V163" s="190"/>
      <c r="W163" s="190"/>
      <c r="X163" s="190"/>
      <c r="Y163" s="190"/>
      <c r="Z163" s="190"/>
    </row>
    <row r="164">
      <c r="A164" s="190"/>
      <c r="B164" s="261" t="s">
        <v>778</v>
      </c>
      <c r="J164" s="190"/>
      <c r="K164" s="190"/>
      <c r="L164" s="190"/>
      <c r="M164" s="190"/>
      <c r="N164" s="190"/>
      <c r="O164" s="190"/>
      <c r="P164" s="190"/>
      <c r="Q164" s="190"/>
      <c r="R164" s="190"/>
      <c r="S164" s="190"/>
      <c r="T164" s="190"/>
      <c r="U164" s="190"/>
      <c r="V164" s="190"/>
      <c r="W164" s="190"/>
      <c r="X164" s="190"/>
      <c r="Y164" s="190"/>
      <c r="Z164" s="190"/>
    </row>
    <row r="165">
      <c r="A165" s="190"/>
      <c r="B165" s="265"/>
      <c r="J165" s="190"/>
      <c r="K165" s="190"/>
      <c r="L165" s="190"/>
      <c r="M165" s="190"/>
      <c r="N165" s="190"/>
      <c r="O165" s="190"/>
      <c r="P165" s="190"/>
      <c r="Q165" s="190"/>
      <c r="R165" s="190"/>
      <c r="S165" s="190"/>
      <c r="T165" s="190"/>
      <c r="U165" s="190"/>
      <c r="V165" s="190"/>
      <c r="W165" s="190"/>
      <c r="X165" s="190"/>
      <c r="Y165" s="190"/>
      <c r="Z165" s="190"/>
    </row>
    <row r="166">
      <c r="A166" s="190"/>
      <c r="B166" s="256" t="s">
        <v>779</v>
      </c>
      <c r="J166" s="190"/>
      <c r="K166" s="190"/>
      <c r="L166" s="190"/>
      <c r="M166" s="190"/>
      <c r="N166" s="190"/>
      <c r="O166" s="190"/>
      <c r="P166" s="190"/>
      <c r="Q166" s="190"/>
      <c r="R166" s="190"/>
      <c r="S166" s="190"/>
      <c r="T166" s="190"/>
      <c r="U166" s="190"/>
      <c r="V166" s="190"/>
      <c r="W166" s="190"/>
      <c r="X166" s="190"/>
      <c r="Y166" s="190"/>
      <c r="Z166" s="190"/>
    </row>
    <row r="167">
      <c r="A167" s="190"/>
      <c r="B167" s="265"/>
      <c r="J167" s="190"/>
      <c r="K167" s="190"/>
      <c r="L167" s="190"/>
      <c r="M167" s="190"/>
      <c r="N167" s="190"/>
      <c r="O167" s="190"/>
      <c r="P167" s="190"/>
      <c r="Q167" s="190"/>
      <c r="R167" s="190"/>
      <c r="S167" s="190"/>
      <c r="T167" s="190"/>
      <c r="U167" s="190"/>
      <c r="V167" s="190"/>
      <c r="W167" s="190"/>
      <c r="X167" s="190"/>
      <c r="Y167" s="190"/>
      <c r="Z167" s="190"/>
    </row>
    <row r="168">
      <c r="A168" s="190"/>
      <c r="B168" s="261" t="s">
        <v>780</v>
      </c>
      <c r="J168" s="190"/>
      <c r="K168" s="190"/>
      <c r="L168" s="190"/>
      <c r="M168" s="190"/>
      <c r="N168" s="190"/>
      <c r="O168" s="190"/>
      <c r="P168" s="190"/>
      <c r="Q168" s="190"/>
      <c r="R168" s="190"/>
      <c r="S168" s="190"/>
      <c r="T168" s="190"/>
      <c r="U168" s="190"/>
      <c r="V168" s="190"/>
      <c r="W168" s="190"/>
      <c r="X168" s="190"/>
      <c r="Y168" s="190"/>
      <c r="Z168" s="190"/>
    </row>
    <row r="169">
      <c r="A169" s="190"/>
      <c r="B169" s="265"/>
      <c r="J169" s="190"/>
      <c r="K169" s="190"/>
      <c r="L169" s="190"/>
      <c r="M169" s="190"/>
      <c r="N169" s="190"/>
      <c r="O169" s="190"/>
      <c r="P169" s="190"/>
      <c r="Q169" s="190"/>
      <c r="R169" s="190"/>
      <c r="S169" s="190"/>
      <c r="T169" s="190"/>
      <c r="U169" s="190"/>
      <c r="V169" s="190"/>
      <c r="W169" s="190"/>
      <c r="X169" s="190"/>
      <c r="Y169" s="190"/>
      <c r="Z169" s="190"/>
    </row>
    <row r="170">
      <c r="A170" s="190"/>
      <c r="B170" s="262" t="s">
        <v>673</v>
      </c>
      <c r="C170" s="256" t="s">
        <v>781</v>
      </c>
      <c r="J170" s="190"/>
      <c r="K170" s="190"/>
      <c r="L170" s="190"/>
      <c r="M170" s="190"/>
      <c r="N170" s="190"/>
      <c r="O170" s="190"/>
      <c r="P170" s="190"/>
      <c r="Q170" s="190"/>
      <c r="R170" s="190"/>
      <c r="S170" s="190"/>
      <c r="T170" s="190"/>
      <c r="U170" s="190"/>
      <c r="V170" s="190"/>
      <c r="W170" s="190"/>
      <c r="X170" s="190"/>
      <c r="Y170" s="190"/>
      <c r="Z170" s="190"/>
    </row>
    <row r="171">
      <c r="A171" s="190"/>
      <c r="B171" s="262" t="s">
        <v>673</v>
      </c>
      <c r="C171" s="256" t="s">
        <v>782</v>
      </c>
      <c r="J171" s="190"/>
      <c r="K171" s="190"/>
      <c r="L171" s="190"/>
      <c r="M171" s="190"/>
      <c r="N171" s="190"/>
      <c r="O171" s="190"/>
      <c r="P171" s="190"/>
      <c r="Q171" s="190"/>
      <c r="R171" s="190"/>
      <c r="S171" s="190"/>
      <c r="T171" s="190"/>
      <c r="U171" s="190"/>
      <c r="V171" s="190"/>
      <c r="W171" s="190"/>
      <c r="X171" s="190"/>
      <c r="Y171" s="190"/>
      <c r="Z171" s="190"/>
    </row>
    <row r="172">
      <c r="A172" s="190"/>
      <c r="B172" s="265"/>
      <c r="J172" s="190"/>
      <c r="K172" s="190"/>
      <c r="L172" s="190"/>
      <c r="M172" s="190"/>
      <c r="N172" s="190"/>
      <c r="O172" s="190"/>
      <c r="P172" s="190"/>
      <c r="Q172" s="190"/>
      <c r="R172" s="190"/>
      <c r="S172" s="190"/>
      <c r="T172" s="190"/>
      <c r="U172" s="190"/>
      <c r="V172" s="190"/>
      <c r="W172" s="190"/>
      <c r="X172" s="190"/>
      <c r="Y172" s="190"/>
      <c r="Z172" s="190"/>
    </row>
    <row r="173">
      <c r="A173" s="190"/>
      <c r="B173" s="256" t="str">
        <f>"Aldus overeengekomen, en in tweevoud opgemaakt en ondertekend te "&amp;FillIn!H8&amp;" op "&amp;TEXT(FillIn!D52,"dd mmmm yyyy")&amp;"."</f>
        <v>Aldus overeengekomen, en in tweevoud opgemaakt en ondertekend te Barendrecht op 17 november 2025.</v>
      </c>
      <c r="J173" s="190"/>
      <c r="K173" s="190"/>
      <c r="L173" s="190"/>
      <c r="M173" s="190"/>
      <c r="N173" s="190"/>
      <c r="O173" s="190"/>
      <c r="P173" s="190"/>
      <c r="Q173" s="190"/>
      <c r="R173" s="190"/>
      <c r="S173" s="190"/>
      <c r="T173" s="190"/>
      <c r="U173" s="190"/>
      <c r="V173" s="190"/>
      <c r="W173" s="190"/>
      <c r="X173" s="190"/>
      <c r="Y173" s="190"/>
      <c r="Z173" s="190"/>
    </row>
    <row r="174">
      <c r="A174" s="190"/>
      <c r="B174" s="267"/>
      <c r="J174" s="190"/>
      <c r="K174" s="190"/>
      <c r="L174" s="190"/>
      <c r="M174" s="190"/>
      <c r="N174" s="190"/>
      <c r="O174" s="190"/>
      <c r="P174" s="190"/>
      <c r="Q174" s="190"/>
      <c r="R174" s="190"/>
      <c r="S174" s="190"/>
      <c r="T174" s="190"/>
      <c r="U174" s="190"/>
      <c r="V174" s="190"/>
      <c r="W174" s="190"/>
      <c r="X174" s="190"/>
      <c r="Y174" s="190"/>
      <c r="Z174" s="190"/>
    </row>
    <row r="175">
      <c r="A175" s="190"/>
      <c r="B175" s="254" t="s">
        <v>783</v>
      </c>
      <c r="E175" s="268"/>
      <c r="F175" s="268"/>
      <c r="G175" s="268"/>
      <c r="H175" s="268"/>
      <c r="I175" s="268"/>
      <c r="J175" s="190"/>
      <c r="K175" s="190"/>
      <c r="L175" s="190"/>
      <c r="M175" s="190"/>
      <c r="N175" s="190"/>
      <c r="O175" s="190"/>
      <c r="P175" s="190"/>
      <c r="Q175" s="190"/>
      <c r="R175" s="190"/>
      <c r="S175" s="190"/>
      <c r="T175" s="190"/>
      <c r="U175" s="190"/>
      <c r="V175" s="190"/>
      <c r="W175" s="190"/>
      <c r="X175" s="190"/>
      <c r="Y175" s="190"/>
      <c r="Z175" s="190"/>
    </row>
    <row r="176">
      <c r="A176" s="190"/>
      <c r="B176" s="268"/>
      <c r="C176" s="268"/>
      <c r="D176" s="268"/>
      <c r="E176" s="268"/>
      <c r="F176" s="268"/>
      <c r="G176" s="268"/>
      <c r="H176" s="268"/>
      <c r="I176" s="268"/>
      <c r="J176" s="190"/>
      <c r="K176" s="190"/>
      <c r="L176" s="190"/>
      <c r="M176" s="190"/>
      <c r="N176" s="190"/>
      <c r="O176" s="190"/>
      <c r="P176" s="190"/>
      <c r="Q176" s="190"/>
      <c r="R176" s="190"/>
      <c r="S176" s="190"/>
      <c r="T176" s="190"/>
      <c r="U176" s="190"/>
      <c r="V176" s="190"/>
      <c r="W176" s="190"/>
      <c r="X176" s="190"/>
      <c r="Y176" s="190"/>
      <c r="Z176" s="190"/>
    </row>
    <row r="177">
      <c r="A177" s="190"/>
      <c r="B177" s="254" t="str">
        <f>"Inlener: "&amp;FillIn!H4</f>
        <v>Inlener: DeNeX Uitzendbureau B.V.</v>
      </c>
      <c r="E177" s="268"/>
      <c r="F177" s="254" t="str">
        <f>"Uitlener: "&amp;FillIn!G47</f>
        <v>Uitlener: A.A. Kazakov</v>
      </c>
      <c r="G177" s="254"/>
      <c r="H177" s="268"/>
      <c r="I177" s="268"/>
      <c r="J177" s="190"/>
      <c r="K177" s="190"/>
      <c r="L177" s="190"/>
      <c r="M177" s="190"/>
      <c r="N177" s="190"/>
      <c r="O177" s="190"/>
      <c r="P177" s="190"/>
      <c r="Q177" s="190"/>
      <c r="R177" s="190"/>
      <c r="S177" s="190"/>
      <c r="T177" s="190"/>
      <c r="U177" s="190"/>
      <c r="V177" s="190"/>
      <c r="W177" s="190"/>
      <c r="X177" s="190"/>
      <c r="Y177" s="190"/>
      <c r="Z177" s="190"/>
    </row>
    <row r="178">
      <c r="A178" s="190"/>
      <c r="B178" s="254" t="str">
        <f>"Namens deze: "&amp;FillIn!M5</f>
        <v>Namens deze: de heer D.O. Ibryam</v>
      </c>
      <c r="E178" s="268"/>
      <c r="F178" s="254" t="str">
        <f>"Namens deze: "&amp;FillIn!M50</f>
        <v>Namens deze: deheer A.A. Kazakov</v>
      </c>
      <c r="I178" s="268"/>
      <c r="J178" s="190"/>
      <c r="K178" s="190"/>
      <c r="L178" s="190"/>
      <c r="M178" s="190"/>
      <c r="N178" s="190"/>
      <c r="O178" s="190"/>
      <c r="P178" s="190"/>
      <c r="Q178" s="190"/>
      <c r="R178" s="190"/>
      <c r="S178" s="190"/>
      <c r="T178" s="190"/>
      <c r="U178" s="190"/>
      <c r="V178" s="190"/>
      <c r="W178" s="190"/>
      <c r="X178" s="190"/>
      <c r="Y178" s="190"/>
      <c r="Z178" s="190"/>
    </row>
    <row r="179">
      <c r="A179" s="190"/>
      <c r="B179" s="268"/>
      <c r="C179" s="268"/>
      <c r="D179" s="268"/>
      <c r="E179" s="268"/>
      <c r="F179" s="268"/>
      <c r="G179" s="268"/>
      <c r="H179" s="268"/>
      <c r="I179" s="268"/>
      <c r="J179" s="190"/>
      <c r="K179" s="190"/>
      <c r="L179" s="190"/>
      <c r="M179" s="190"/>
      <c r="N179" s="190"/>
      <c r="O179" s="190"/>
      <c r="P179" s="190"/>
      <c r="Q179" s="190"/>
      <c r="R179" s="190"/>
      <c r="S179" s="190"/>
      <c r="T179" s="190"/>
      <c r="U179" s="190"/>
      <c r="V179" s="190"/>
      <c r="W179" s="190"/>
      <c r="X179" s="190"/>
      <c r="Y179" s="190"/>
      <c r="Z179" s="190"/>
    </row>
    <row r="180">
      <c r="A180" s="190"/>
      <c r="B180" s="268"/>
      <c r="C180" s="268"/>
      <c r="D180" s="268"/>
      <c r="E180" s="268"/>
      <c r="F180" s="268"/>
      <c r="G180" s="268"/>
      <c r="H180" s="268"/>
      <c r="I180" s="268"/>
      <c r="J180" s="190"/>
      <c r="K180" s="190"/>
      <c r="L180" s="190"/>
      <c r="M180" s="190"/>
      <c r="N180" s="190"/>
      <c r="O180" s="190"/>
      <c r="P180" s="190"/>
      <c r="Q180" s="190"/>
      <c r="R180" s="190"/>
      <c r="S180" s="190"/>
      <c r="T180" s="190"/>
      <c r="U180" s="190"/>
      <c r="V180" s="190"/>
      <c r="W180" s="190"/>
      <c r="X180" s="190"/>
      <c r="Y180" s="190"/>
      <c r="Z180" s="190"/>
    </row>
    <row r="181">
      <c r="A181" s="190"/>
      <c r="B181" s="268"/>
      <c r="C181" s="268"/>
      <c r="D181" s="268"/>
      <c r="E181" s="268"/>
      <c r="F181" s="268"/>
      <c r="G181" s="268"/>
      <c r="H181" s="268"/>
      <c r="I181" s="268"/>
      <c r="J181" s="190"/>
      <c r="K181" s="190"/>
      <c r="L181" s="190"/>
      <c r="M181" s="190"/>
      <c r="N181" s="190"/>
      <c r="O181" s="190"/>
      <c r="P181" s="190"/>
      <c r="Q181" s="190"/>
      <c r="R181" s="190"/>
      <c r="S181" s="190"/>
      <c r="T181" s="190"/>
      <c r="U181" s="190"/>
      <c r="V181" s="190"/>
      <c r="W181" s="190"/>
      <c r="X181" s="190"/>
      <c r="Y181" s="190"/>
      <c r="Z181" s="190"/>
    </row>
    <row r="182">
      <c r="A182" s="190"/>
      <c r="B182" s="268"/>
      <c r="C182" s="268"/>
      <c r="D182" s="268"/>
      <c r="E182" s="268"/>
      <c r="F182" s="268"/>
      <c r="G182" s="268"/>
      <c r="H182" s="268"/>
      <c r="I182" s="268"/>
      <c r="J182" s="190"/>
      <c r="K182" s="190"/>
      <c r="L182" s="190"/>
      <c r="M182" s="190"/>
      <c r="N182" s="190"/>
      <c r="O182" s="190"/>
      <c r="P182" s="190"/>
      <c r="Q182" s="190"/>
      <c r="R182" s="190"/>
      <c r="S182" s="190"/>
      <c r="T182" s="190"/>
      <c r="U182" s="190"/>
      <c r="V182" s="190"/>
      <c r="W182" s="190"/>
      <c r="X182" s="190"/>
      <c r="Y182" s="190"/>
      <c r="Z182" s="190"/>
    </row>
    <row r="183">
      <c r="A183" s="190"/>
      <c r="B183" s="268"/>
      <c r="C183" s="268"/>
      <c r="D183" s="268"/>
      <c r="E183" s="268"/>
      <c r="F183" s="268"/>
      <c r="G183" s="268"/>
      <c r="H183" s="268"/>
      <c r="I183" s="268"/>
      <c r="J183" s="190"/>
      <c r="K183" s="190"/>
      <c r="L183" s="190"/>
      <c r="M183" s="190"/>
      <c r="N183" s="190"/>
      <c r="O183" s="190"/>
      <c r="P183" s="190"/>
      <c r="Q183" s="190"/>
      <c r="R183" s="190"/>
      <c r="S183" s="190"/>
      <c r="T183" s="190"/>
      <c r="U183" s="190"/>
      <c r="V183" s="190"/>
      <c r="W183" s="190"/>
      <c r="X183" s="190"/>
      <c r="Y183" s="190"/>
      <c r="Z183" s="190"/>
    </row>
    <row r="184">
      <c r="A184" s="190"/>
      <c r="B184" s="269" t="s">
        <v>784</v>
      </c>
      <c r="C184" s="270"/>
      <c r="D184" s="270"/>
      <c r="E184" s="268"/>
      <c r="F184" s="269" t="s">
        <v>784</v>
      </c>
      <c r="G184" s="270"/>
      <c r="H184" s="268"/>
      <c r="I184" s="268"/>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sheetData>
  <mergeCells count="171">
    <mergeCell ref="B1:I1"/>
    <mergeCell ref="B3:E3"/>
    <mergeCell ref="B5:C5"/>
    <mergeCell ref="B6:C6"/>
    <mergeCell ref="B7:D7"/>
    <mergeCell ref="B8:D8"/>
    <mergeCell ref="B9:D9"/>
    <mergeCell ref="B10:C10"/>
    <mergeCell ref="B11:D11"/>
    <mergeCell ref="B15:E15"/>
    <mergeCell ref="B17:C17"/>
    <mergeCell ref="B18:C18"/>
    <mergeCell ref="B19:D19"/>
    <mergeCell ref="B20:D20"/>
    <mergeCell ref="B21:D21"/>
    <mergeCell ref="B22:C22"/>
    <mergeCell ref="B23:D23"/>
    <mergeCell ref="B25:D25"/>
    <mergeCell ref="C27:I27"/>
    <mergeCell ref="C28:I28"/>
    <mergeCell ref="C29:I29"/>
    <mergeCell ref="C30:I30"/>
    <mergeCell ref="C31:I31"/>
    <mergeCell ref="C32:I32"/>
    <mergeCell ref="C33:I33"/>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 ref="B50:I50"/>
    <mergeCell ref="C51:I51"/>
    <mergeCell ref="C52:I52"/>
    <mergeCell ref="C53:I53"/>
    <mergeCell ref="D54:I54"/>
    <mergeCell ref="D55:I55"/>
    <mergeCell ref="D56:I56"/>
    <mergeCell ref="D57:I57"/>
    <mergeCell ref="D58:I58"/>
    <mergeCell ref="D59:I59"/>
    <mergeCell ref="C60:I60"/>
    <mergeCell ref="C61:I61"/>
    <mergeCell ref="B62:I62"/>
    <mergeCell ref="B63:I63"/>
    <mergeCell ref="C64:I64"/>
    <mergeCell ref="C65:I65"/>
    <mergeCell ref="C66:I66"/>
    <mergeCell ref="C67:I67"/>
    <mergeCell ref="B68:I68"/>
    <mergeCell ref="B69:I69"/>
    <mergeCell ref="B70:I70"/>
    <mergeCell ref="C71:I71"/>
    <mergeCell ref="C72:I72"/>
    <mergeCell ref="B73:I73"/>
    <mergeCell ref="B74:I74"/>
    <mergeCell ref="B75:I75"/>
    <mergeCell ref="C76:I76"/>
    <mergeCell ref="C77:I77"/>
    <mergeCell ref="C78:I78"/>
    <mergeCell ref="C79:I79"/>
    <mergeCell ref="C80:I80"/>
    <mergeCell ref="B81:I81"/>
    <mergeCell ref="B82:I82"/>
    <mergeCell ref="B83:I83"/>
    <mergeCell ref="C84:I84"/>
    <mergeCell ref="B85:I85"/>
    <mergeCell ref="B86:I86"/>
    <mergeCell ref="B87:I87"/>
    <mergeCell ref="C88:I88"/>
    <mergeCell ref="C89:I89"/>
    <mergeCell ref="C90:I90"/>
    <mergeCell ref="C91:I91"/>
    <mergeCell ref="B92:I92"/>
    <mergeCell ref="B93:I93"/>
    <mergeCell ref="B94:I94"/>
    <mergeCell ref="C95:I95"/>
    <mergeCell ref="C96:I96"/>
    <mergeCell ref="B97:I97"/>
    <mergeCell ref="B98:I98"/>
    <mergeCell ref="B99:I99"/>
    <mergeCell ref="C100:I100"/>
    <mergeCell ref="C101:I101"/>
    <mergeCell ref="C102:I102"/>
    <mergeCell ref="C103:I103"/>
    <mergeCell ref="B104:I104"/>
    <mergeCell ref="B105:I105"/>
    <mergeCell ref="B106:I106"/>
    <mergeCell ref="C107:I107"/>
    <mergeCell ref="B157:I157"/>
    <mergeCell ref="B158:I158"/>
    <mergeCell ref="C159:I159"/>
    <mergeCell ref="C160:I160"/>
    <mergeCell ref="C161:I161"/>
    <mergeCell ref="C162:I162"/>
    <mergeCell ref="B163:I163"/>
    <mergeCell ref="B164:I164"/>
    <mergeCell ref="B165:I165"/>
    <mergeCell ref="B166:I166"/>
    <mergeCell ref="B167:I167"/>
    <mergeCell ref="B168:I168"/>
    <mergeCell ref="B169:I169"/>
    <mergeCell ref="C170:I170"/>
    <mergeCell ref="B178:D178"/>
    <mergeCell ref="B184:D184"/>
    <mergeCell ref="F184:G184"/>
    <mergeCell ref="C171:I171"/>
    <mergeCell ref="B172:I172"/>
    <mergeCell ref="B173:I173"/>
    <mergeCell ref="B174:I174"/>
    <mergeCell ref="B175:D175"/>
    <mergeCell ref="B177:D177"/>
    <mergeCell ref="F178:H178"/>
    <mergeCell ref="C108:I108"/>
    <mergeCell ref="D109:I109"/>
    <mergeCell ref="D110:I110"/>
    <mergeCell ref="D111:I111"/>
    <mergeCell ref="D112:I112"/>
    <mergeCell ref="C113:I113"/>
    <mergeCell ref="B114:I114"/>
    <mergeCell ref="B115:I115"/>
    <mergeCell ref="B116:I116"/>
    <mergeCell ref="C117:I117"/>
    <mergeCell ref="C118:I118"/>
    <mergeCell ref="C119:I119"/>
    <mergeCell ref="B120:I120"/>
    <mergeCell ref="B121:I121"/>
    <mergeCell ref="B122:I122"/>
    <mergeCell ref="C123:I123"/>
    <mergeCell ref="C124:I124"/>
    <mergeCell ref="C125:I125"/>
    <mergeCell ref="C126:I126"/>
    <mergeCell ref="C127:I127"/>
    <mergeCell ref="C128:I128"/>
    <mergeCell ref="B129:I129"/>
    <mergeCell ref="B130:I130"/>
    <mergeCell ref="B131:I131"/>
    <mergeCell ref="C132:I132"/>
    <mergeCell ref="C133:I133"/>
    <mergeCell ref="C134:I134"/>
    <mergeCell ref="B135:I135"/>
    <mergeCell ref="B136:I136"/>
    <mergeCell ref="B137:I137"/>
    <mergeCell ref="B138:I138"/>
    <mergeCell ref="B139:I139"/>
    <mergeCell ref="B140:I140"/>
    <mergeCell ref="B141:I141"/>
    <mergeCell ref="B142:I142"/>
    <mergeCell ref="B143:I143"/>
    <mergeCell ref="C144:I144"/>
    <mergeCell ref="C145:I145"/>
    <mergeCell ref="C146:I146"/>
    <mergeCell ref="B147:I147"/>
    <mergeCell ref="B148:I148"/>
    <mergeCell ref="B149:I149"/>
    <mergeCell ref="B150:I150"/>
    <mergeCell ref="B151:I151"/>
    <mergeCell ref="C152:I152"/>
    <mergeCell ref="C153:I153"/>
    <mergeCell ref="B154:I154"/>
    <mergeCell ref="B155:I155"/>
    <mergeCell ref="B156:I15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 width="2.75"/>
    <col customWidth="1" min="3" max="3" width="1.88"/>
    <col customWidth="1" min="4" max="4" width="27.25"/>
    <col customWidth="1" min="7" max="7" width="2.25"/>
    <col customWidth="1" min="10" max="10" width="2.63"/>
  </cols>
  <sheetData>
    <row r="1">
      <c r="A1" s="271"/>
      <c r="B1" s="272" t="s">
        <v>785</v>
      </c>
      <c r="J1" s="271"/>
      <c r="K1" s="271"/>
      <c r="L1" s="271"/>
      <c r="M1" s="271"/>
      <c r="N1" s="271"/>
      <c r="O1" s="271"/>
      <c r="P1" s="271"/>
      <c r="Q1" s="271"/>
      <c r="R1" s="271"/>
      <c r="S1" s="271"/>
      <c r="T1" s="271"/>
      <c r="U1" s="271"/>
      <c r="V1" s="271"/>
      <c r="W1" s="271"/>
      <c r="X1" s="271"/>
      <c r="Y1" s="271"/>
      <c r="Z1" s="271"/>
    </row>
    <row r="2">
      <c r="A2" s="271"/>
      <c r="B2" s="273"/>
      <c r="C2" s="274"/>
      <c r="D2" s="274"/>
      <c r="E2" s="274"/>
      <c r="F2" s="274"/>
      <c r="G2" s="274"/>
      <c r="H2" s="274"/>
      <c r="I2" s="274"/>
      <c r="J2" s="271"/>
      <c r="K2" s="271"/>
      <c r="L2" s="271"/>
      <c r="M2" s="271"/>
      <c r="N2" s="271"/>
      <c r="O2" s="271"/>
      <c r="P2" s="271"/>
      <c r="Q2" s="271"/>
      <c r="R2" s="271"/>
      <c r="S2" s="271"/>
      <c r="T2" s="271"/>
      <c r="U2" s="271"/>
      <c r="V2" s="271"/>
      <c r="W2" s="271"/>
      <c r="X2" s="271"/>
      <c r="Y2" s="271"/>
      <c r="Z2" s="271"/>
    </row>
    <row r="3">
      <c r="A3" s="271"/>
      <c r="B3" s="272" t="s">
        <v>165</v>
      </c>
      <c r="J3" s="271"/>
      <c r="K3" s="271"/>
      <c r="L3" s="271"/>
      <c r="M3" s="271"/>
      <c r="N3" s="271"/>
      <c r="O3" s="271"/>
      <c r="P3" s="271"/>
      <c r="Q3" s="271"/>
      <c r="R3" s="271"/>
      <c r="S3" s="271"/>
      <c r="T3" s="271"/>
      <c r="U3" s="271"/>
      <c r="V3" s="271"/>
      <c r="W3" s="271"/>
      <c r="X3" s="271"/>
      <c r="Y3" s="271"/>
      <c r="Z3" s="271"/>
    </row>
    <row r="4">
      <c r="A4" s="271"/>
      <c r="B4" s="275"/>
      <c r="C4" s="274"/>
      <c r="D4" s="274"/>
      <c r="E4" s="276"/>
      <c r="F4" s="276"/>
      <c r="G4" s="276"/>
      <c r="H4" s="276"/>
      <c r="I4" s="277"/>
      <c r="J4" s="271"/>
      <c r="K4" s="271"/>
      <c r="L4" s="271"/>
      <c r="M4" s="271"/>
      <c r="N4" s="271"/>
      <c r="O4" s="271"/>
      <c r="P4" s="271"/>
      <c r="Q4" s="271"/>
      <c r="R4" s="271"/>
      <c r="S4" s="271"/>
      <c r="T4" s="271"/>
      <c r="U4" s="271"/>
      <c r="V4" s="271"/>
      <c r="W4" s="271"/>
      <c r="X4" s="271"/>
      <c r="Y4" s="271"/>
      <c r="Z4" s="271"/>
    </row>
    <row r="5">
      <c r="A5" s="271"/>
      <c r="B5" s="278" t="s">
        <v>786</v>
      </c>
      <c r="J5" s="271"/>
      <c r="K5" s="271"/>
      <c r="L5" s="271"/>
      <c r="M5" s="271"/>
      <c r="N5" s="271"/>
      <c r="O5" s="271"/>
      <c r="P5" s="271"/>
      <c r="Q5" s="271"/>
      <c r="R5" s="271"/>
      <c r="S5" s="271"/>
      <c r="T5" s="271"/>
      <c r="U5" s="271"/>
      <c r="V5" s="271"/>
      <c r="W5" s="271"/>
      <c r="X5" s="271"/>
      <c r="Y5" s="271"/>
      <c r="Z5" s="271"/>
    </row>
    <row r="6">
      <c r="A6" s="271"/>
      <c r="B6" s="275"/>
      <c r="C6" s="256"/>
      <c r="D6" s="279"/>
      <c r="E6" s="279"/>
      <c r="F6" s="256"/>
      <c r="G6" s="256"/>
      <c r="H6" s="256"/>
      <c r="I6" s="256"/>
      <c r="J6" s="271"/>
      <c r="K6" s="271"/>
      <c r="L6" s="271"/>
      <c r="M6" s="271"/>
      <c r="N6" s="271"/>
      <c r="O6" s="271"/>
      <c r="P6" s="271"/>
      <c r="Q6" s="271"/>
      <c r="R6" s="271"/>
      <c r="S6" s="271"/>
      <c r="T6" s="271"/>
      <c r="U6" s="271"/>
      <c r="V6" s="271"/>
      <c r="W6" s="271"/>
      <c r="X6" s="271"/>
      <c r="Y6" s="271"/>
      <c r="Z6" s="271"/>
    </row>
    <row r="7">
      <c r="A7" s="271"/>
      <c r="B7" s="278" t="s">
        <v>787</v>
      </c>
      <c r="J7" s="271"/>
      <c r="K7" s="271"/>
      <c r="L7" s="271"/>
      <c r="M7" s="271"/>
      <c r="N7" s="271"/>
      <c r="O7" s="271"/>
      <c r="P7" s="271"/>
      <c r="Q7" s="271"/>
      <c r="R7" s="271"/>
      <c r="S7" s="271"/>
      <c r="T7" s="271"/>
      <c r="U7" s="271"/>
      <c r="V7" s="271"/>
      <c r="W7" s="271"/>
      <c r="X7" s="271"/>
      <c r="Y7" s="271"/>
      <c r="Z7" s="271"/>
    </row>
    <row r="8">
      <c r="A8" s="271"/>
      <c r="B8" s="273"/>
      <c r="C8" s="256"/>
      <c r="D8" s="256"/>
      <c r="E8" s="279"/>
      <c r="F8" s="256"/>
      <c r="G8" s="256"/>
      <c r="H8" s="279"/>
      <c r="I8" s="279"/>
      <c r="J8" s="271"/>
      <c r="K8" s="271"/>
      <c r="L8" s="271"/>
      <c r="M8" s="271"/>
      <c r="N8" s="271"/>
      <c r="O8" s="271"/>
      <c r="P8" s="271"/>
      <c r="Q8" s="271"/>
      <c r="R8" s="271"/>
      <c r="S8" s="271"/>
      <c r="T8" s="271"/>
      <c r="U8" s="271"/>
      <c r="V8" s="271"/>
      <c r="W8" s="271"/>
      <c r="X8" s="271"/>
      <c r="Y8" s="271"/>
      <c r="Z8" s="271"/>
    </row>
    <row r="9">
      <c r="A9" s="271"/>
      <c r="B9" s="280" t="s">
        <v>788</v>
      </c>
      <c r="J9" s="271"/>
      <c r="K9" s="271"/>
      <c r="L9" s="271"/>
      <c r="M9" s="271"/>
      <c r="N9" s="271"/>
      <c r="O9" s="271"/>
      <c r="P9" s="271"/>
      <c r="Q9" s="271"/>
      <c r="R9" s="271"/>
      <c r="S9" s="271"/>
      <c r="T9" s="271"/>
      <c r="U9" s="271"/>
      <c r="V9" s="271"/>
      <c r="W9" s="271"/>
      <c r="X9" s="271"/>
      <c r="Y9" s="271"/>
      <c r="Z9" s="271"/>
    </row>
    <row r="10">
      <c r="A10" s="271"/>
      <c r="B10" s="273"/>
      <c r="C10" s="256"/>
      <c r="D10" s="279"/>
      <c r="E10" s="279"/>
      <c r="F10" s="256"/>
      <c r="G10" s="256"/>
      <c r="H10" s="279"/>
      <c r="I10" s="279"/>
      <c r="J10" s="271"/>
      <c r="K10" s="271"/>
      <c r="L10" s="271"/>
      <c r="M10" s="271"/>
      <c r="N10" s="271"/>
      <c r="O10" s="271"/>
      <c r="P10" s="271"/>
      <c r="Q10" s="271"/>
      <c r="R10" s="271"/>
      <c r="S10" s="271"/>
      <c r="T10" s="271"/>
      <c r="U10" s="271"/>
      <c r="V10" s="271"/>
      <c r="W10" s="271"/>
      <c r="X10" s="271"/>
      <c r="Y10" s="271"/>
      <c r="Z10" s="271"/>
    </row>
    <row r="11">
      <c r="A11" s="271"/>
      <c r="B11" s="281" t="s">
        <v>789</v>
      </c>
      <c r="J11" s="271"/>
      <c r="K11" s="271"/>
      <c r="L11" s="271"/>
      <c r="M11" s="271"/>
      <c r="N11" s="271"/>
      <c r="O11" s="271"/>
      <c r="P11" s="271"/>
      <c r="Q11" s="271"/>
      <c r="R11" s="271"/>
      <c r="S11" s="271"/>
      <c r="T11" s="271"/>
      <c r="U11" s="271"/>
      <c r="V11" s="271"/>
      <c r="W11" s="271"/>
      <c r="X11" s="271"/>
      <c r="Y11" s="271"/>
      <c r="Z11" s="271"/>
    </row>
    <row r="12">
      <c r="A12" s="271"/>
      <c r="B12" s="273"/>
      <c r="C12" s="260"/>
      <c r="D12" s="279"/>
      <c r="E12" s="279"/>
      <c r="F12" s="279"/>
      <c r="G12" s="279"/>
      <c r="H12" s="279"/>
      <c r="I12" s="279"/>
      <c r="J12" s="271"/>
      <c r="K12" s="271"/>
      <c r="L12" s="271"/>
      <c r="M12" s="271"/>
      <c r="N12" s="271"/>
      <c r="O12" s="271"/>
      <c r="P12" s="271"/>
      <c r="Q12" s="271"/>
      <c r="R12" s="271"/>
      <c r="S12" s="271"/>
      <c r="T12" s="271"/>
      <c r="U12" s="271"/>
      <c r="V12" s="271"/>
      <c r="W12" s="271"/>
      <c r="X12" s="271"/>
      <c r="Y12" s="271"/>
      <c r="Z12" s="271"/>
    </row>
    <row r="13">
      <c r="A13" s="271"/>
      <c r="B13" s="280" t="s">
        <v>790</v>
      </c>
      <c r="J13" s="271"/>
      <c r="K13" s="271"/>
      <c r="L13" s="271"/>
      <c r="M13" s="271"/>
      <c r="N13" s="271"/>
      <c r="O13" s="271"/>
      <c r="P13" s="271"/>
      <c r="Q13" s="271"/>
      <c r="R13" s="271"/>
      <c r="S13" s="271"/>
      <c r="T13" s="271"/>
      <c r="U13" s="271"/>
      <c r="V13" s="271"/>
      <c r="W13" s="271"/>
      <c r="X13" s="271"/>
      <c r="Y13" s="271"/>
      <c r="Z13" s="271"/>
    </row>
    <row r="14">
      <c r="A14" s="271"/>
      <c r="B14" s="273"/>
      <c r="C14" s="282"/>
      <c r="D14" s="274"/>
      <c r="E14" s="274"/>
      <c r="F14" s="274"/>
      <c r="G14" s="274"/>
      <c r="H14" s="274"/>
      <c r="I14" s="274"/>
      <c r="J14" s="271"/>
      <c r="K14" s="271"/>
      <c r="L14" s="271"/>
      <c r="M14" s="271"/>
      <c r="N14" s="271"/>
      <c r="O14" s="271"/>
      <c r="P14" s="271"/>
      <c r="Q14" s="271"/>
      <c r="R14" s="271"/>
      <c r="S14" s="271"/>
      <c r="T14" s="271"/>
      <c r="U14" s="271"/>
      <c r="V14" s="271"/>
      <c r="W14" s="271"/>
      <c r="X14" s="271"/>
      <c r="Y14" s="271"/>
      <c r="Z14" s="271"/>
    </row>
    <row r="15">
      <c r="A15" s="271"/>
      <c r="B15" s="281" t="s">
        <v>791</v>
      </c>
      <c r="J15" s="271"/>
      <c r="K15" s="271"/>
      <c r="L15" s="271"/>
      <c r="M15" s="271"/>
      <c r="N15" s="271"/>
      <c r="O15" s="271"/>
      <c r="P15" s="271"/>
      <c r="Q15" s="271"/>
      <c r="R15" s="271"/>
      <c r="S15" s="271"/>
      <c r="T15" s="271"/>
      <c r="U15" s="271"/>
      <c r="V15" s="271"/>
      <c r="W15" s="271"/>
      <c r="X15" s="271"/>
      <c r="Y15" s="271"/>
      <c r="Z15" s="271"/>
    </row>
    <row r="16">
      <c r="A16" s="271"/>
      <c r="B16" s="280" t="s">
        <v>792</v>
      </c>
      <c r="J16" s="271"/>
      <c r="K16" s="271"/>
      <c r="L16" s="271"/>
      <c r="M16" s="271"/>
      <c r="N16" s="271"/>
      <c r="O16" s="271"/>
      <c r="P16" s="271"/>
      <c r="Q16" s="271"/>
      <c r="R16" s="271"/>
      <c r="S16" s="271"/>
      <c r="T16" s="271"/>
      <c r="U16" s="271"/>
      <c r="V16" s="271"/>
      <c r="W16" s="271"/>
      <c r="X16" s="271"/>
      <c r="Y16" s="271"/>
      <c r="Z16" s="271"/>
    </row>
    <row r="17">
      <c r="A17" s="271"/>
      <c r="B17" s="273"/>
      <c r="C17" s="256"/>
      <c r="D17" s="279"/>
      <c r="E17" s="279"/>
      <c r="F17" s="261"/>
      <c r="G17" s="279"/>
      <c r="H17" s="279"/>
      <c r="I17" s="283"/>
      <c r="J17" s="271"/>
      <c r="K17" s="271"/>
      <c r="L17" s="271"/>
      <c r="M17" s="271"/>
      <c r="N17" s="271"/>
      <c r="O17" s="271"/>
      <c r="P17" s="271"/>
      <c r="Q17" s="271"/>
      <c r="R17" s="271"/>
      <c r="S17" s="271"/>
      <c r="T17" s="271"/>
      <c r="U17" s="271"/>
      <c r="V17" s="271"/>
      <c r="W17" s="271"/>
      <c r="X17" s="271"/>
      <c r="Y17" s="271"/>
      <c r="Z17" s="271"/>
    </row>
    <row r="18">
      <c r="A18" s="271"/>
      <c r="B18" s="281" t="s">
        <v>793</v>
      </c>
      <c r="J18" s="271"/>
      <c r="K18" s="271"/>
      <c r="L18" s="271"/>
      <c r="M18" s="271"/>
      <c r="N18" s="271"/>
      <c r="O18" s="271"/>
      <c r="P18" s="271"/>
      <c r="Q18" s="271"/>
      <c r="R18" s="271"/>
      <c r="S18" s="271"/>
      <c r="T18" s="271"/>
      <c r="U18" s="271"/>
      <c r="V18" s="271"/>
      <c r="W18" s="271"/>
      <c r="X18" s="271"/>
      <c r="Y18" s="271"/>
      <c r="Z18" s="271"/>
    </row>
    <row r="19">
      <c r="A19" s="271"/>
      <c r="B19" s="273"/>
      <c r="C19" s="256"/>
      <c r="D19" s="256"/>
      <c r="E19" s="279"/>
      <c r="F19" s="256"/>
      <c r="G19" s="279"/>
      <c r="H19" s="279"/>
      <c r="I19" s="279"/>
      <c r="J19" s="271"/>
      <c r="K19" s="271"/>
      <c r="L19" s="271"/>
      <c r="M19" s="271"/>
      <c r="N19" s="271"/>
      <c r="O19" s="271"/>
      <c r="P19" s="271"/>
      <c r="Q19" s="271"/>
      <c r="R19" s="271"/>
      <c r="S19" s="271"/>
      <c r="T19" s="271"/>
      <c r="U19" s="271"/>
      <c r="V19" s="271"/>
      <c r="W19" s="271"/>
      <c r="X19" s="271"/>
      <c r="Y19" s="271"/>
      <c r="Z19" s="271"/>
    </row>
    <row r="20">
      <c r="A20" s="271"/>
      <c r="B20" s="280" t="s">
        <v>794</v>
      </c>
      <c r="J20" s="271"/>
      <c r="K20" s="271"/>
      <c r="L20" s="271"/>
      <c r="M20" s="271"/>
      <c r="N20" s="271"/>
      <c r="O20" s="271"/>
      <c r="P20" s="271"/>
      <c r="Q20" s="271"/>
      <c r="R20" s="271"/>
      <c r="S20" s="271"/>
      <c r="T20" s="271"/>
      <c r="U20" s="271"/>
      <c r="V20" s="271"/>
      <c r="W20" s="271"/>
      <c r="X20" s="271"/>
      <c r="Y20" s="271"/>
      <c r="Z20" s="271"/>
    </row>
    <row r="21">
      <c r="A21" s="271"/>
      <c r="B21" s="273"/>
      <c r="C21" s="256"/>
      <c r="D21" s="256"/>
      <c r="E21" s="279"/>
      <c r="F21" s="256"/>
      <c r="G21" s="279"/>
      <c r="H21" s="279"/>
      <c r="I21" s="279"/>
      <c r="J21" s="271"/>
      <c r="K21" s="271"/>
      <c r="L21" s="271"/>
      <c r="M21" s="271"/>
      <c r="N21" s="271"/>
      <c r="O21" s="271"/>
      <c r="P21" s="271"/>
      <c r="Q21" s="271"/>
      <c r="R21" s="271"/>
      <c r="S21" s="271"/>
      <c r="T21" s="271"/>
      <c r="U21" s="271"/>
      <c r="V21" s="271"/>
      <c r="W21" s="271"/>
      <c r="X21" s="271"/>
      <c r="Y21" s="271"/>
      <c r="Z21" s="271"/>
    </row>
    <row r="22">
      <c r="A22" s="271"/>
      <c r="B22" s="281" t="s">
        <v>795</v>
      </c>
      <c r="J22" s="271"/>
      <c r="K22" s="271"/>
      <c r="L22" s="271"/>
      <c r="M22" s="271"/>
      <c r="N22" s="271"/>
      <c r="O22" s="271"/>
      <c r="P22" s="271"/>
      <c r="Q22" s="271"/>
      <c r="R22" s="271"/>
      <c r="S22" s="271"/>
      <c r="T22" s="271"/>
      <c r="U22" s="271"/>
      <c r="V22" s="271"/>
      <c r="W22" s="271"/>
      <c r="X22" s="271"/>
      <c r="Y22" s="271"/>
      <c r="Z22" s="271"/>
    </row>
    <row r="23">
      <c r="A23" s="271"/>
      <c r="B23" s="273"/>
      <c r="C23" s="256"/>
      <c r="D23" s="256"/>
      <c r="E23" s="279"/>
      <c r="F23" s="256"/>
      <c r="G23" s="279"/>
      <c r="H23" s="279"/>
      <c r="I23" s="279"/>
      <c r="J23" s="271"/>
      <c r="K23" s="271"/>
      <c r="L23" s="271"/>
      <c r="M23" s="271"/>
      <c r="N23" s="271"/>
      <c r="O23" s="271"/>
      <c r="P23" s="271"/>
      <c r="Q23" s="271"/>
      <c r="R23" s="271"/>
      <c r="S23" s="271"/>
      <c r="T23" s="271"/>
      <c r="U23" s="271"/>
      <c r="V23" s="271"/>
      <c r="W23" s="271"/>
      <c r="X23" s="271"/>
      <c r="Y23" s="271"/>
      <c r="Z23" s="271"/>
    </row>
    <row r="24">
      <c r="A24" s="271"/>
      <c r="B24" s="280" t="s">
        <v>796</v>
      </c>
      <c r="J24" s="271"/>
      <c r="K24" s="271"/>
      <c r="L24" s="271"/>
      <c r="M24" s="271"/>
      <c r="N24" s="271"/>
      <c r="O24" s="271"/>
      <c r="P24" s="271"/>
      <c r="Q24" s="271"/>
      <c r="R24" s="271"/>
      <c r="S24" s="271"/>
      <c r="T24" s="271"/>
      <c r="U24" s="271"/>
      <c r="V24" s="271"/>
      <c r="W24" s="271"/>
      <c r="X24" s="271"/>
      <c r="Y24" s="271"/>
      <c r="Z24" s="271"/>
    </row>
    <row r="25">
      <c r="A25" s="271"/>
      <c r="B25" s="273"/>
      <c r="C25" s="284"/>
      <c r="D25" s="284"/>
      <c r="E25" s="285"/>
      <c r="F25" s="285"/>
      <c r="G25" s="285"/>
      <c r="H25" s="285"/>
      <c r="I25" s="285"/>
      <c r="J25" s="271"/>
      <c r="K25" s="271"/>
      <c r="L25" s="271"/>
      <c r="M25" s="271"/>
      <c r="N25" s="271"/>
      <c r="O25" s="271"/>
      <c r="P25" s="271"/>
      <c r="Q25" s="271"/>
      <c r="R25" s="271"/>
      <c r="S25" s="271"/>
      <c r="T25" s="271"/>
      <c r="U25" s="271"/>
      <c r="V25" s="271"/>
      <c r="W25" s="271"/>
      <c r="X25" s="271"/>
      <c r="Y25" s="271"/>
      <c r="Z25" s="271"/>
    </row>
    <row r="26">
      <c r="A26" s="271"/>
      <c r="B26" s="281" t="s">
        <v>797</v>
      </c>
      <c r="J26" s="271"/>
      <c r="K26" s="271"/>
      <c r="L26" s="271"/>
      <c r="M26" s="271"/>
      <c r="N26" s="271"/>
      <c r="O26" s="271"/>
      <c r="P26" s="271"/>
      <c r="Q26" s="271"/>
      <c r="R26" s="271"/>
      <c r="S26" s="271"/>
      <c r="T26" s="271"/>
      <c r="U26" s="271"/>
      <c r="V26" s="271"/>
      <c r="W26" s="271"/>
      <c r="X26" s="271"/>
      <c r="Y26" s="271"/>
      <c r="Z26" s="271"/>
    </row>
    <row r="27">
      <c r="A27" s="271"/>
      <c r="B27" s="273"/>
      <c r="C27" s="256"/>
      <c r="J27" s="271"/>
      <c r="K27" s="271"/>
      <c r="L27" s="271"/>
      <c r="M27" s="271"/>
      <c r="N27" s="271"/>
      <c r="O27" s="271"/>
      <c r="P27" s="271"/>
      <c r="Q27" s="271"/>
      <c r="R27" s="271"/>
      <c r="S27" s="271"/>
      <c r="T27" s="271"/>
      <c r="U27" s="271"/>
      <c r="V27" s="271"/>
      <c r="W27" s="271"/>
      <c r="X27" s="271"/>
      <c r="Y27" s="271"/>
      <c r="Z27" s="271"/>
    </row>
    <row r="28">
      <c r="A28" s="271"/>
      <c r="B28" s="280" t="s">
        <v>798</v>
      </c>
      <c r="J28" s="271"/>
      <c r="K28" s="271"/>
      <c r="L28" s="271"/>
      <c r="M28" s="271"/>
      <c r="N28" s="271"/>
      <c r="O28" s="271"/>
      <c r="P28" s="271"/>
      <c r="Q28" s="271"/>
      <c r="R28" s="271"/>
      <c r="S28" s="271"/>
      <c r="T28" s="271"/>
      <c r="U28" s="271"/>
      <c r="V28" s="271"/>
      <c r="W28" s="271"/>
      <c r="X28" s="271"/>
      <c r="Y28" s="271"/>
      <c r="Z28" s="271"/>
    </row>
    <row r="29">
      <c r="A29" s="271"/>
      <c r="B29" s="273"/>
      <c r="C29" s="256"/>
      <c r="J29" s="271"/>
      <c r="K29" s="271"/>
      <c r="L29" s="271"/>
      <c r="M29" s="271"/>
      <c r="N29" s="271"/>
      <c r="O29" s="271"/>
      <c r="P29" s="271"/>
      <c r="Q29" s="271"/>
      <c r="R29" s="271"/>
      <c r="S29" s="271"/>
      <c r="T29" s="271"/>
      <c r="U29" s="271"/>
      <c r="V29" s="271"/>
      <c r="W29" s="271"/>
      <c r="X29" s="271"/>
      <c r="Y29" s="271"/>
      <c r="Z29" s="271"/>
    </row>
    <row r="30">
      <c r="A30" s="271"/>
      <c r="B30" s="281" t="s">
        <v>799</v>
      </c>
      <c r="J30" s="271"/>
      <c r="K30" s="271"/>
      <c r="L30" s="271"/>
      <c r="M30" s="271"/>
      <c r="N30" s="271"/>
      <c r="O30" s="271"/>
      <c r="P30" s="271"/>
      <c r="Q30" s="271"/>
      <c r="R30" s="271"/>
      <c r="S30" s="271"/>
      <c r="T30" s="271"/>
      <c r="U30" s="271"/>
      <c r="V30" s="271"/>
      <c r="W30" s="271"/>
      <c r="X30" s="271"/>
      <c r="Y30" s="271"/>
      <c r="Z30" s="271"/>
    </row>
    <row r="31">
      <c r="A31" s="271"/>
      <c r="B31" s="273"/>
      <c r="C31" s="256"/>
      <c r="J31" s="271"/>
      <c r="K31" s="271"/>
      <c r="L31" s="271"/>
      <c r="M31" s="271"/>
      <c r="N31" s="271"/>
      <c r="O31" s="271"/>
      <c r="P31" s="271"/>
      <c r="Q31" s="271"/>
      <c r="R31" s="271"/>
      <c r="S31" s="271"/>
      <c r="T31" s="271"/>
      <c r="U31" s="271"/>
      <c r="V31" s="271"/>
      <c r="W31" s="271"/>
      <c r="X31" s="271"/>
      <c r="Y31" s="271"/>
      <c r="Z31" s="271"/>
    </row>
    <row r="32">
      <c r="A32" s="271"/>
      <c r="B32" s="280" t="s">
        <v>800</v>
      </c>
      <c r="J32" s="271"/>
      <c r="K32" s="271"/>
      <c r="L32" s="271"/>
      <c r="M32" s="271"/>
      <c r="N32" s="271"/>
      <c r="O32" s="271"/>
      <c r="P32" s="271"/>
      <c r="Q32" s="271"/>
      <c r="R32" s="271"/>
      <c r="S32" s="271"/>
      <c r="T32" s="271"/>
      <c r="U32" s="271"/>
      <c r="V32" s="271"/>
      <c r="W32" s="271"/>
      <c r="X32" s="271"/>
      <c r="Y32" s="271"/>
      <c r="Z32" s="271"/>
    </row>
    <row r="33">
      <c r="A33" s="271"/>
      <c r="B33" s="273"/>
      <c r="C33" s="258"/>
      <c r="J33" s="271"/>
      <c r="K33" s="271"/>
      <c r="L33" s="271"/>
      <c r="M33" s="271"/>
      <c r="N33" s="271"/>
      <c r="O33" s="271"/>
      <c r="P33" s="271"/>
      <c r="Q33" s="271"/>
      <c r="R33" s="271"/>
      <c r="S33" s="271"/>
      <c r="T33" s="271"/>
      <c r="U33" s="271"/>
      <c r="V33" s="271"/>
      <c r="W33" s="271"/>
      <c r="X33" s="271"/>
      <c r="Y33" s="271"/>
      <c r="Z33" s="271"/>
    </row>
    <row r="34">
      <c r="A34" s="271"/>
      <c r="B34" s="281" t="s">
        <v>801</v>
      </c>
      <c r="J34" s="271"/>
      <c r="K34" s="271"/>
      <c r="L34" s="271"/>
      <c r="M34" s="271"/>
      <c r="N34" s="271"/>
      <c r="O34" s="271"/>
      <c r="P34" s="271"/>
      <c r="Q34" s="271"/>
      <c r="R34" s="271"/>
      <c r="S34" s="271"/>
      <c r="T34" s="271"/>
      <c r="U34" s="271"/>
      <c r="V34" s="271"/>
      <c r="W34" s="271"/>
      <c r="X34" s="271"/>
      <c r="Y34" s="271"/>
      <c r="Z34" s="271"/>
    </row>
    <row r="35">
      <c r="A35" s="271"/>
      <c r="B35" s="273"/>
      <c r="C35" s="256"/>
      <c r="D35" s="256"/>
      <c r="E35" s="256"/>
      <c r="F35" s="256"/>
      <c r="G35" s="256"/>
      <c r="H35" s="256"/>
      <c r="I35" s="256"/>
      <c r="J35" s="271"/>
      <c r="K35" s="271"/>
      <c r="L35" s="271"/>
      <c r="M35" s="271"/>
      <c r="N35" s="271"/>
      <c r="O35" s="271"/>
      <c r="P35" s="271"/>
      <c r="Q35" s="271"/>
      <c r="R35" s="271"/>
      <c r="S35" s="271"/>
      <c r="T35" s="271"/>
      <c r="U35" s="271"/>
      <c r="V35" s="271"/>
      <c r="W35" s="271"/>
      <c r="X35" s="271"/>
      <c r="Y35" s="271"/>
      <c r="Z35" s="271"/>
    </row>
    <row r="36">
      <c r="A36" s="271"/>
      <c r="B36" s="286" t="s">
        <v>802</v>
      </c>
      <c r="J36" s="271"/>
      <c r="K36" s="271"/>
      <c r="L36" s="271"/>
      <c r="M36" s="271"/>
      <c r="N36" s="271"/>
      <c r="O36" s="271"/>
      <c r="P36" s="271"/>
      <c r="Q36" s="271"/>
      <c r="R36" s="271"/>
      <c r="S36" s="271"/>
      <c r="T36" s="271"/>
      <c r="U36" s="271"/>
      <c r="V36" s="271"/>
      <c r="W36" s="271"/>
      <c r="X36" s="271"/>
      <c r="Y36" s="271"/>
      <c r="Z36" s="271"/>
    </row>
    <row r="37">
      <c r="A37" s="271"/>
      <c r="B37" s="273"/>
      <c r="C37" s="261"/>
      <c r="D37" s="261"/>
      <c r="E37" s="261"/>
      <c r="F37" s="261"/>
      <c r="G37" s="261"/>
      <c r="H37" s="261"/>
      <c r="I37" s="261"/>
      <c r="J37" s="271"/>
      <c r="K37" s="271"/>
      <c r="L37" s="271"/>
      <c r="M37" s="271"/>
      <c r="N37" s="271"/>
      <c r="O37" s="271"/>
      <c r="P37" s="271"/>
      <c r="Q37" s="271"/>
      <c r="R37" s="271"/>
      <c r="S37" s="271"/>
      <c r="T37" s="271"/>
      <c r="U37" s="271"/>
      <c r="V37" s="271"/>
      <c r="W37" s="271"/>
      <c r="X37" s="271"/>
      <c r="Y37" s="271"/>
      <c r="Z37" s="271"/>
    </row>
    <row r="38">
      <c r="A38" s="271"/>
      <c r="B38" s="281" t="s">
        <v>803</v>
      </c>
      <c r="J38" s="271"/>
      <c r="K38" s="271"/>
      <c r="L38" s="271"/>
      <c r="M38" s="271"/>
      <c r="N38" s="271"/>
      <c r="O38" s="271"/>
      <c r="P38" s="271"/>
      <c r="Q38" s="271"/>
      <c r="R38" s="271"/>
      <c r="S38" s="271"/>
      <c r="T38" s="271"/>
      <c r="U38" s="271"/>
      <c r="V38" s="271"/>
      <c r="W38" s="271"/>
      <c r="X38" s="271"/>
      <c r="Y38" s="271"/>
      <c r="Z38" s="271"/>
    </row>
    <row r="39">
      <c r="A39" s="271"/>
      <c r="B39" s="273"/>
      <c r="C39" s="256"/>
      <c r="D39" s="256"/>
      <c r="E39" s="256"/>
      <c r="F39" s="256"/>
      <c r="G39" s="256"/>
      <c r="H39" s="256"/>
      <c r="I39" s="256"/>
      <c r="J39" s="271"/>
      <c r="K39" s="271"/>
      <c r="L39" s="271"/>
      <c r="M39" s="271"/>
      <c r="N39" s="271"/>
      <c r="O39" s="271"/>
      <c r="P39" s="271"/>
      <c r="Q39" s="271"/>
      <c r="R39" s="271"/>
      <c r="S39" s="271"/>
      <c r="T39" s="271"/>
      <c r="U39" s="271"/>
      <c r="V39" s="271"/>
      <c r="W39" s="271"/>
      <c r="X39" s="271"/>
      <c r="Y39" s="271"/>
      <c r="Z39" s="271"/>
    </row>
    <row r="40">
      <c r="A40" s="271"/>
      <c r="B40" s="280" t="s">
        <v>804</v>
      </c>
      <c r="J40" s="271"/>
      <c r="K40" s="271"/>
      <c r="L40" s="271"/>
      <c r="M40" s="271"/>
      <c r="N40" s="271"/>
      <c r="O40" s="271"/>
      <c r="P40" s="271"/>
      <c r="Q40" s="271"/>
      <c r="R40" s="271"/>
      <c r="S40" s="271"/>
      <c r="T40" s="271"/>
      <c r="U40" s="271"/>
      <c r="V40" s="271"/>
      <c r="W40" s="271"/>
      <c r="X40" s="271"/>
      <c r="Y40" s="271"/>
      <c r="Z40" s="271"/>
    </row>
    <row r="41">
      <c r="A41" s="271"/>
      <c r="B41" s="273"/>
      <c r="C41" s="256"/>
      <c r="D41" s="256"/>
      <c r="E41" s="256"/>
      <c r="F41" s="256"/>
      <c r="G41" s="256"/>
      <c r="H41" s="256"/>
      <c r="I41" s="256"/>
      <c r="J41" s="271"/>
      <c r="K41" s="271"/>
      <c r="L41" s="271"/>
      <c r="M41" s="271"/>
      <c r="N41" s="271"/>
      <c r="O41" s="271"/>
      <c r="P41" s="271"/>
      <c r="Q41" s="271"/>
      <c r="R41" s="271"/>
      <c r="S41" s="271"/>
      <c r="T41" s="271"/>
      <c r="U41" s="271"/>
      <c r="V41" s="271"/>
      <c r="W41" s="271"/>
      <c r="X41" s="271"/>
      <c r="Y41" s="271"/>
      <c r="Z41" s="271"/>
    </row>
    <row r="42">
      <c r="A42" s="271"/>
      <c r="B42" s="281" t="s">
        <v>805</v>
      </c>
      <c r="J42" s="271"/>
      <c r="K42" s="271"/>
      <c r="L42" s="271"/>
      <c r="M42" s="271"/>
      <c r="N42" s="271"/>
      <c r="O42" s="271"/>
      <c r="P42" s="271"/>
      <c r="Q42" s="271"/>
      <c r="R42" s="271"/>
      <c r="S42" s="271"/>
      <c r="T42" s="271"/>
      <c r="U42" s="271"/>
      <c r="V42" s="271"/>
      <c r="W42" s="271"/>
      <c r="X42" s="271"/>
      <c r="Y42" s="271"/>
      <c r="Z42" s="271"/>
    </row>
    <row r="43">
      <c r="A43" s="271"/>
      <c r="B43" s="275"/>
      <c r="C43" s="256"/>
      <c r="D43" s="256"/>
      <c r="E43" s="256"/>
      <c r="F43" s="256"/>
      <c r="G43" s="256"/>
      <c r="H43" s="256"/>
      <c r="I43" s="256"/>
      <c r="J43" s="271"/>
      <c r="K43" s="271"/>
      <c r="L43" s="271"/>
      <c r="M43" s="271"/>
      <c r="N43" s="271"/>
      <c r="O43" s="271"/>
      <c r="P43" s="271"/>
      <c r="Q43" s="271"/>
      <c r="R43" s="271"/>
      <c r="S43" s="271"/>
      <c r="T43" s="271"/>
      <c r="U43" s="271"/>
      <c r="V43" s="271"/>
      <c r="W43" s="271"/>
      <c r="X43" s="271"/>
      <c r="Y43" s="271"/>
      <c r="Z43" s="271"/>
    </row>
    <row r="44">
      <c r="A44" s="271"/>
      <c r="B44" s="287" t="s">
        <v>806</v>
      </c>
      <c r="J44" s="271"/>
      <c r="K44" s="271"/>
      <c r="L44" s="271"/>
      <c r="M44" s="271"/>
      <c r="N44" s="271"/>
      <c r="O44" s="271"/>
      <c r="P44" s="271"/>
      <c r="Q44" s="271"/>
      <c r="R44" s="271"/>
      <c r="S44" s="271"/>
      <c r="T44" s="271"/>
      <c r="U44" s="271"/>
      <c r="V44" s="271"/>
      <c r="W44" s="271"/>
      <c r="X44" s="271"/>
      <c r="Y44" s="271"/>
      <c r="Z44" s="271"/>
    </row>
    <row r="45">
      <c r="A45" s="271"/>
      <c r="B45" s="288" t="s">
        <v>807</v>
      </c>
      <c r="J45" s="271"/>
      <c r="K45" s="271"/>
      <c r="L45" s="271"/>
      <c r="M45" s="271"/>
      <c r="N45" s="271"/>
      <c r="O45" s="271"/>
      <c r="P45" s="271"/>
      <c r="Q45" s="271"/>
      <c r="R45" s="271"/>
      <c r="S45" s="271"/>
      <c r="T45" s="271"/>
      <c r="U45" s="271"/>
      <c r="V45" s="271"/>
      <c r="W45" s="271"/>
      <c r="X45" s="271"/>
      <c r="Y45" s="271"/>
      <c r="Z45" s="271"/>
    </row>
    <row r="46">
      <c r="A46" s="271"/>
      <c r="B46" s="288" t="s">
        <v>808</v>
      </c>
      <c r="J46" s="271"/>
      <c r="K46" s="271"/>
      <c r="L46" s="271"/>
      <c r="M46" s="271"/>
      <c r="N46" s="271"/>
      <c r="O46" s="271"/>
      <c r="P46" s="271"/>
      <c r="Q46" s="271"/>
      <c r="R46" s="271"/>
      <c r="S46" s="271"/>
      <c r="T46" s="271"/>
      <c r="U46" s="271"/>
      <c r="V46" s="271"/>
      <c r="W46" s="271"/>
      <c r="X46" s="271"/>
      <c r="Y46" s="271"/>
      <c r="Z46" s="271"/>
    </row>
    <row r="47">
      <c r="A47" s="271"/>
      <c r="B47" s="288" t="s">
        <v>809</v>
      </c>
      <c r="J47" s="271"/>
      <c r="K47" s="271"/>
      <c r="L47" s="271"/>
      <c r="M47" s="271"/>
      <c r="N47" s="271"/>
      <c r="O47" s="271"/>
      <c r="P47" s="271"/>
      <c r="Q47" s="271"/>
      <c r="R47" s="271"/>
      <c r="S47" s="271"/>
      <c r="T47" s="271"/>
      <c r="U47" s="271"/>
      <c r="V47" s="271"/>
      <c r="W47" s="271"/>
      <c r="X47" s="271"/>
      <c r="Y47" s="271"/>
      <c r="Z47" s="271"/>
    </row>
    <row r="48">
      <c r="A48" s="271"/>
      <c r="B48" s="275"/>
      <c r="C48" s="260"/>
      <c r="D48" s="260"/>
      <c r="E48" s="260"/>
      <c r="F48" s="260"/>
      <c r="G48" s="260"/>
      <c r="H48" s="260"/>
      <c r="I48" s="260"/>
      <c r="J48" s="271"/>
      <c r="K48" s="271"/>
      <c r="L48" s="271"/>
      <c r="M48" s="271"/>
      <c r="N48" s="271"/>
      <c r="O48" s="271"/>
      <c r="P48" s="271"/>
      <c r="Q48" s="271"/>
      <c r="R48" s="271"/>
      <c r="S48" s="271"/>
      <c r="T48" s="271"/>
      <c r="U48" s="271"/>
      <c r="V48" s="271"/>
      <c r="W48" s="271"/>
      <c r="X48" s="271"/>
      <c r="Y48" s="271"/>
      <c r="Z48" s="271"/>
    </row>
    <row r="49">
      <c r="A49" s="271"/>
      <c r="B49" s="287" t="s">
        <v>810</v>
      </c>
      <c r="J49" s="271"/>
      <c r="K49" s="271"/>
      <c r="L49" s="271"/>
      <c r="M49" s="271"/>
      <c r="N49" s="271"/>
      <c r="O49" s="271"/>
      <c r="P49" s="271"/>
      <c r="Q49" s="271"/>
      <c r="R49" s="271"/>
      <c r="S49" s="271"/>
      <c r="T49" s="271"/>
      <c r="U49" s="271"/>
      <c r="V49" s="271"/>
      <c r="W49" s="271"/>
      <c r="X49" s="271"/>
      <c r="Y49" s="271"/>
      <c r="Z49" s="271"/>
    </row>
    <row r="50">
      <c r="A50" s="271"/>
      <c r="B50" s="288" t="s">
        <v>811</v>
      </c>
      <c r="J50" s="271"/>
      <c r="K50" s="271"/>
      <c r="L50" s="271"/>
      <c r="M50" s="271"/>
      <c r="N50" s="271"/>
      <c r="O50" s="271"/>
      <c r="P50" s="271"/>
      <c r="Q50" s="271"/>
      <c r="R50" s="271"/>
      <c r="S50" s="271"/>
      <c r="T50" s="271"/>
      <c r="U50" s="271"/>
      <c r="V50" s="271"/>
      <c r="W50" s="271"/>
      <c r="X50" s="271"/>
      <c r="Y50" s="271"/>
      <c r="Z50" s="271"/>
    </row>
    <row r="51">
      <c r="A51" s="271"/>
      <c r="B51" s="275"/>
      <c r="C51" s="258"/>
      <c r="J51" s="271"/>
      <c r="K51" s="271"/>
      <c r="L51" s="271"/>
      <c r="M51" s="271"/>
      <c r="N51" s="271"/>
      <c r="O51" s="271"/>
      <c r="P51" s="271"/>
      <c r="Q51" s="271"/>
      <c r="R51" s="271"/>
      <c r="S51" s="271"/>
      <c r="T51" s="271"/>
      <c r="U51" s="271"/>
      <c r="V51" s="271"/>
      <c r="W51" s="271"/>
      <c r="X51" s="271"/>
      <c r="Y51" s="271"/>
      <c r="Z51" s="271"/>
    </row>
    <row r="52">
      <c r="A52" s="271"/>
      <c r="B52" s="287" t="s">
        <v>812</v>
      </c>
      <c r="J52" s="271"/>
      <c r="K52" s="271"/>
      <c r="L52" s="271"/>
      <c r="M52" s="271"/>
      <c r="N52" s="271"/>
      <c r="O52" s="271"/>
      <c r="P52" s="271"/>
      <c r="Q52" s="271"/>
      <c r="R52" s="271"/>
      <c r="S52" s="271"/>
      <c r="T52" s="271"/>
      <c r="U52" s="271"/>
      <c r="V52" s="271"/>
      <c r="W52" s="271"/>
      <c r="X52" s="271"/>
      <c r="Y52" s="271"/>
      <c r="Z52" s="271"/>
    </row>
    <row r="53">
      <c r="A53" s="271"/>
      <c r="B53" s="288" t="s">
        <v>813</v>
      </c>
      <c r="J53" s="271"/>
      <c r="K53" s="271"/>
      <c r="L53" s="271"/>
      <c r="M53" s="271"/>
      <c r="N53" s="271"/>
      <c r="O53" s="271"/>
      <c r="P53" s="271"/>
      <c r="Q53" s="271"/>
      <c r="R53" s="271"/>
      <c r="S53" s="271"/>
      <c r="T53" s="271"/>
      <c r="U53" s="271"/>
      <c r="V53" s="271"/>
      <c r="W53" s="271"/>
      <c r="X53" s="271"/>
      <c r="Y53" s="271"/>
      <c r="Z53" s="271"/>
    </row>
    <row r="54">
      <c r="A54" s="271"/>
      <c r="B54" s="288" t="s">
        <v>814</v>
      </c>
      <c r="J54" s="271"/>
      <c r="K54" s="271"/>
      <c r="L54" s="271"/>
      <c r="M54" s="271"/>
      <c r="N54" s="271"/>
      <c r="O54" s="271"/>
      <c r="P54" s="271"/>
      <c r="Q54" s="271"/>
      <c r="R54" s="271"/>
      <c r="S54" s="271"/>
      <c r="T54" s="271"/>
      <c r="U54" s="271"/>
      <c r="V54" s="271"/>
      <c r="W54" s="271"/>
      <c r="X54" s="271"/>
      <c r="Y54" s="271"/>
      <c r="Z54" s="271"/>
    </row>
    <row r="55">
      <c r="A55" s="271"/>
      <c r="B55" s="288" t="s">
        <v>815</v>
      </c>
      <c r="J55" s="271"/>
      <c r="K55" s="271"/>
      <c r="L55" s="271"/>
      <c r="M55" s="271"/>
      <c r="N55" s="271"/>
      <c r="O55" s="271"/>
      <c r="P55" s="271"/>
      <c r="Q55" s="271"/>
      <c r="R55" s="271"/>
      <c r="S55" s="271"/>
      <c r="T55" s="271"/>
      <c r="U55" s="271"/>
      <c r="V55" s="271"/>
      <c r="W55" s="271"/>
      <c r="X55" s="271"/>
      <c r="Y55" s="271"/>
      <c r="Z55" s="271"/>
    </row>
    <row r="56">
      <c r="A56" s="271"/>
      <c r="B56" s="288" t="s">
        <v>816</v>
      </c>
      <c r="J56" s="271"/>
      <c r="K56" s="271"/>
      <c r="L56" s="271"/>
      <c r="M56" s="271"/>
      <c r="N56" s="271"/>
      <c r="O56" s="271"/>
      <c r="P56" s="271"/>
      <c r="Q56" s="271"/>
      <c r="R56" s="271"/>
      <c r="S56" s="271"/>
      <c r="T56" s="271"/>
      <c r="U56" s="271"/>
      <c r="V56" s="271"/>
      <c r="W56" s="271"/>
      <c r="X56" s="271"/>
      <c r="Y56" s="271"/>
      <c r="Z56" s="271"/>
    </row>
    <row r="57">
      <c r="A57" s="271"/>
      <c r="B57" s="275"/>
      <c r="C57" s="258"/>
      <c r="D57" s="256"/>
      <c r="J57" s="271"/>
      <c r="K57" s="271"/>
      <c r="L57" s="271"/>
      <c r="M57" s="271"/>
      <c r="N57" s="271"/>
      <c r="O57" s="271"/>
      <c r="P57" s="271"/>
      <c r="Q57" s="271"/>
      <c r="R57" s="271"/>
      <c r="S57" s="271"/>
      <c r="T57" s="271"/>
      <c r="U57" s="271"/>
      <c r="V57" s="271"/>
      <c r="W57" s="271"/>
      <c r="X57" s="271"/>
      <c r="Y57" s="271"/>
      <c r="Z57" s="271"/>
    </row>
    <row r="58">
      <c r="A58" s="271"/>
      <c r="B58" s="287" t="s">
        <v>817</v>
      </c>
      <c r="J58" s="271"/>
      <c r="K58" s="271"/>
      <c r="L58" s="271"/>
      <c r="M58" s="271"/>
      <c r="N58" s="271"/>
      <c r="O58" s="271"/>
      <c r="P58" s="271"/>
      <c r="Q58" s="271"/>
      <c r="R58" s="271"/>
      <c r="S58" s="271"/>
      <c r="T58" s="271"/>
      <c r="U58" s="271"/>
      <c r="V58" s="271"/>
      <c r="W58" s="271"/>
      <c r="X58" s="271"/>
      <c r="Y58" s="271"/>
      <c r="Z58" s="271"/>
    </row>
    <row r="59">
      <c r="A59" s="271"/>
      <c r="B59" s="288" t="s">
        <v>818</v>
      </c>
      <c r="J59" s="271"/>
      <c r="K59" s="271"/>
      <c r="L59" s="271"/>
      <c r="M59" s="271"/>
      <c r="N59" s="271"/>
      <c r="O59" s="271"/>
      <c r="P59" s="271"/>
      <c r="Q59" s="271"/>
      <c r="R59" s="271"/>
      <c r="S59" s="271"/>
      <c r="T59" s="271"/>
      <c r="U59" s="271"/>
      <c r="V59" s="271"/>
      <c r="W59" s="271"/>
      <c r="X59" s="271"/>
      <c r="Y59" s="271"/>
      <c r="Z59" s="271"/>
    </row>
    <row r="60">
      <c r="A60" s="271"/>
      <c r="B60" s="288" t="s">
        <v>819</v>
      </c>
      <c r="J60" s="271"/>
      <c r="K60" s="271"/>
      <c r="L60" s="271"/>
      <c r="M60" s="271"/>
      <c r="N60" s="271"/>
      <c r="O60" s="271"/>
      <c r="P60" s="271"/>
      <c r="Q60" s="271"/>
      <c r="R60" s="271"/>
      <c r="S60" s="271"/>
      <c r="T60" s="271"/>
      <c r="U60" s="271"/>
      <c r="V60" s="271"/>
      <c r="W60" s="271"/>
      <c r="X60" s="271"/>
      <c r="Y60" s="271"/>
      <c r="Z60" s="271"/>
    </row>
    <row r="61">
      <c r="A61" s="271"/>
      <c r="B61" s="288" t="s">
        <v>820</v>
      </c>
      <c r="J61" s="271"/>
      <c r="K61" s="271"/>
      <c r="L61" s="271"/>
      <c r="M61" s="271"/>
      <c r="N61" s="271"/>
      <c r="O61" s="271"/>
      <c r="P61" s="271"/>
      <c r="Q61" s="271"/>
      <c r="R61" s="271"/>
      <c r="S61" s="271"/>
      <c r="T61" s="271"/>
      <c r="U61" s="271"/>
      <c r="V61" s="271"/>
      <c r="W61" s="271"/>
      <c r="X61" s="271"/>
      <c r="Y61" s="271"/>
      <c r="Z61" s="271"/>
    </row>
    <row r="62">
      <c r="A62" s="271"/>
      <c r="B62" s="288" t="s">
        <v>821</v>
      </c>
      <c r="J62" s="271"/>
      <c r="K62" s="271"/>
      <c r="L62" s="271"/>
      <c r="M62" s="271"/>
      <c r="N62" s="271"/>
      <c r="O62" s="271"/>
      <c r="P62" s="271"/>
      <c r="Q62" s="271"/>
      <c r="R62" s="271"/>
      <c r="S62" s="271"/>
      <c r="T62" s="271"/>
      <c r="U62" s="271"/>
      <c r="V62" s="271"/>
      <c r="W62" s="271"/>
      <c r="X62" s="271"/>
      <c r="Y62" s="271"/>
      <c r="Z62" s="271"/>
    </row>
    <row r="63">
      <c r="A63" s="271"/>
      <c r="B63" s="275"/>
      <c r="C63" s="260"/>
      <c r="D63" s="260"/>
      <c r="E63" s="260"/>
      <c r="F63" s="260"/>
      <c r="G63" s="260"/>
      <c r="H63" s="260"/>
      <c r="I63" s="260"/>
      <c r="J63" s="271"/>
      <c r="K63" s="271"/>
      <c r="L63" s="271"/>
      <c r="M63" s="271"/>
      <c r="N63" s="271"/>
      <c r="O63" s="271"/>
      <c r="P63" s="271"/>
      <c r="Q63" s="271"/>
      <c r="R63" s="271"/>
      <c r="S63" s="271"/>
      <c r="T63" s="271"/>
      <c r="U63" s="271"/>
      <c r="V63" s="271"/>
      <c r="W63" s="271"/>
      <c r="X63" s="271"/>
      <c r="Y63" s="271"/>
      <c r="Z63" s="271"/>
    </row>
    <row r="64">
      <c r="A64" s="271"/>
      <c r="B64" s="287" t="s">
        <v>822</v>
      </c>
      <c r="J64" s="271"/>
      <c r="K64" s="271"/>
      <c r="L64" s="271"/>
      <c r="M64" s="271"/>
      <c r="N64" s="271"/>
      <c r="O64" s="271"/>
      <c r="P64" s="271"/>
      <c r="Q64" s="271"/>
      <c r="R64" s="271"/>
      <c r="S64" s="271"/>
      <c r="T64" s="271"/>
      <c r="U64" s="271"/>
      <c r="V64" s="271"/>
      <c r="W64" s="271"/>
      <c r="X64" s="271"/>
      <c r="Y64" s="271"/>
      <c r="Z64" s="271"/>
    </row>
    <row r="65">
      <c r="A65" s="271"/>
      <c r="B65" s="278" t="s">
        <v>823</v>
      </c>
      <c r="J65" s="271"/>
      <c r="K65" s="271"/>
      <c r="L65" s="271"/>
      <c r="M65" s="271"/>
      <c r="N65" s="271"/>
      <c r="O65" s="271"/>
      <c r="P65" s="271"/>
      <c r="Q65" s="271"/>
      <c r="R65" s="271"/>
      <c r="S65" s="271"/>
      <c r="T65" s="271"/>
      <c r="U65" s="271"/>
      <c r="V65" s="271"/>
      <c r="W65" s="271"/>
      <c r="X65" s="271"/>
      <c r="Y65" s="271"/>
      <c r="Z65" s="271"/>
    </row>
    <row r="66">
      <c r="A66" s="271"/>
      <c r="B66" s="273"/>
      <c r="C66" s="258"/>
      <c r="J66" s="271"/>
      <c r="K66" s="271"/>
      <c r="L66" s="271"/>
      <c r="M66" s="271"/>
      <c r="N66" s="271"/>
      <c r="O66" s="271"/>
      <c r="P66" s="271"/>
      <c r="Q66" s="271"/>
      <c r="R66" s="271"/>
      <c r="S66" s="271"/>
      <c r="T66" s="271"/>
      <c r="U66" s="271"/>
      <c r="V66" s="271"/>
      <c r="W66" s="271"/>
      <c r="X66" s="271"/>
      <c r="Y66" s="271"/>
      <c r="Z66" s="271"/>
    </row>
    <row r="67">
      <c r="A67" s="271"/>
      <c r="B67" s="281" t="s">
        <v>824</v>
      </c>
      <c r="J67" s="271"/>
      <c r="K67" s="271"/>
      <c r="L67" s="271"/>
      <c r="M67" s="271"/>
      <c r="N67" s="271"/>
      <c r="O67" s="271"/>
      <c r="P67" s="271"/>
      <c r="Q67" s="271"/>
      <c r="R67" s="271"/>
      <c r="S67" s="271"/>
      <c r="T67" s="271"/>
      <c r="U67" s="271"/>
      <c r="V67" s="271"/>
      <c r="W67" s="271"/>
      <c r="X67" s="271"/>
      <c r="Y67" s="271"/>
      <c r="Z67" s="271"/>
    </row>
    <row r="68">
      <c r="A68" s="271"/>
      <c r="B68" s="273"/>
      <c r="C68" s="260"/>
      <c r="D68" s="260"/>
      <c r="E68" s="260"/>
      <c r="F68" s="260"/>
      <c r="G68" s="260"/>
      <c r="H68" s="260"/>
      <c r="I68" s="260"/>
      <c r="J68" s="271"/>
      <c r="K68" s="271"/>
      <c r="L68" s="271"/>
      <c r="M68" s="271"/>
      <c r="N68" s="271"/>
      <c r="O68" s="271"/>
      <c r="P68" s="271"/>
      <c r="Q68" s="271"/>
      <c r="R68" s="271"/>
      <c r="S68" s="271"/>
      <c r="T68" s="271"/>
      <c r="U68" s="271"/>
      <c r="V68" s="271"/>
      <c r="W68" s="271"/>
      <c r="X68" s="271"/>
      <c r="Y68" s="271"/>
      <c r="Z68" s="271"/>
    </row>
    <row r="69">
      <c r="A69" s="271"/>
      <c r="B69" s="280" t="str">
        <f>"Op deze overeenkomst is Nederlands recht van toepassing. Geschillen zullen bij uitsluiting worden voorgelegd aan de bevoegde rechter te "&amp;FillIn!H8&amp;"."</f>
        <v>Op deze overeenkomst is Nederlands recht van toepassing. Geschillen zullen bij uitsluiting worden voorgelegd aan de bevoegde rechter te Barendrecht.</v>
      </c>
      <c r="J69" s="271"/>
      <c r="K69" s="271"/>
      <c r="L69" s="271"/>
      <c r="M69" s="271"/>
      <c r="N69" s="271"/>
      <c r="O69" s="271"/>
      <c r="P69" s="271"/>
      <c r="Q69" s="271"/>
      <c r="R69" s="271"/>
      <c r="S69" s="271"/>
      <c r="T69" s="271"/>
      <c r="U69" s="271"/>
      <c r="V69" s="271"/>
      <c r="W69" s="271"/>
      <c r="X69" s="271"/>
      <c r="Y69" s="271"/>
      <c r="Z69" s="271"/>
    </row>
    <row r="70">
      <c r="A70" s="271"/>
      <c r="B70" s="289"/>
      <c r="C70" s="265"/>
      <c r="D70" s="265"/>
      <c r="E70" s="265"/>
      <c r="F70" s="265"/>
      <c r="G70" s="265"/>
      <c r="H70" s="265"/>
      <c r="I70" s="265"/>
      <c r="J70" s="271"/>
      <c r="K70" s="271"/>
      <c r="L70" s="271"/>
      <c r="M70" s="271"/>
      <c r="N70" s="271"/>
      <c r="O70" s="271"/>
      <c r="P70" s="271"/>
      <c r="Q70" s="271"/>
      <c r="R70" s="271"/>
      <c r="S70" s="271"/>
      <c r="T70" s="271"/>
      <c r="U70" s="271"/>
      <c r="V70" s="271"/>
      <c r="W70" s="271"/>
      <c r="X70" s="271"/>
      <c r="Y70" s="271"/>
      <c r="Z70" s="271"/>
    </row>
    <row r="71">
      <c r="A71" s="271"/>
      <c r="B71" s="280" t="str">
        <f>"Aldus overeengekomen en in tweevoud getekend te "&amp;FillIn!H8&amp;" op "&amp;TEXT(FillIn!D52,"dd mmmm yyyy")&amp;"."</f>
        <v>Aldus overeengekomen en in tweevoud getekend te Barendrecht op 17 november 2025.</v>
      </c>
      <c r="J71" s="271"/>
      <c r="K71" s="271"/>
      <c r="L71" s="271"/>
      <c r="M71" s="271"/>
      <c r="N71" s="271"/>
      <c r="O71" s="271"/>
      <c r="P71" s="271"/>
      <c r="Q71" s="271"/>
      <c r="R71" s="271"/>
      <c r="S71" s="271"/>
      <c r="T71" s="271"/>
      <c r="U71" s="271"/>
      <c r="V71" s="271"/>
      <c r="W71" s="271"/>
      <c r="X71" s="271"/>
      <c r="Y71" s="271"/>
      <c r="Z71" s="271"/>
    </row>
    <row r="72">
      <c r="A72" s="271"/>
      <c r="B72" s="273"/>
      <c r="C72" s="258"/>
      <c r="J72" s="271"/>
      <c r="K72" s="271"/>
      <c r="L72" s="271"/>
      <c r="M72" s="271"/>
      <c r="N72" s="271"/>
      <c r="O72" s="271"/>
      <c r="P72" s="271"/>
      <c r="Q72" s="271"/>
      <c r="R72" s="271"/>
      <c r="S72" s="271"/>
      <c r="T72" s="271"/>
      <c r="U72" s="271"/>
      <c r="V72" s="271"/>
      <c r="W72" s="271"/>
      <c r="X72" s="271"/>
      <c r="Y72" s="271"/>
      <c r="Z72" s="271"/>
    </row>
    <row r="73">
      <c r="A73" s="271"/>
      <c r="B73" s="290" t="s">
        <v>825</v>
      </c>
      <c r="C73" s="290"/>
      <c r="D73" s="290"/>
      <c r="E73" s="290"/>
      <c r="F73" s="290"/>
      <c r="G73" s="290" t="s">
        <v>632</v>
      </c>
      <c r="H73" s="290"/>
      <c r="I73" s="290"/>
      <c r="J73" s="271"/>
      <c r="K73" s="271"/>
      <c r="L73" s="271"/>
      <c r="M73" s="271"/>
      <c r="N73" s="271"/>
      <c r="O73" s="271"/>
      <c r="P73" s="271"/>
      <c r="Q73" s="271"/>
      <c r="R73" s="271"/>
      <c r="S73" s="271"/>
      <c r="T73" s="271"/>
      <c r="U73" s="271"/>
      <c r="V73" s="271"/>
      <c r="W73" s="271"/>
      <c r="X73" s="271"/>
      <c r="Y73" s="271"/>
      <c r="Z73" s="271"/>
    </row>
    <row r="74">
      <c r="A74" s="271"/>
      <c r="B74" s="291" t="str">
        <f>"Naam: "&amp;FillIn!M5</f>
        <v>Naam: de heer D.O. Ibryam</v>
      </c>
      <c r="C74" s="280"/>
      <c r="D74" s="280"/>
      <c r="E74" s="280"/>
      <c r="F74" s="280"/>
      <c r="G74" s="291" t="str">
        <f>"Naam: "&amp;FillIn!M4</f>
        <v>Naam: de heer G. Aslan</v>
      </c>
      <c r="H74" s="280"/>
      <c r="I74" s="280"/>
      <c r="J74" s="271"/>
      <c r="K74" s="271"/>
      <c r="L74" s="271"/>
      <c r="M74" s="271"/>
      <c r="N74" s="271"/>
      <c r="O74" s="271"/>
      <c r="P74" s="271"/>
      <c r="Q74" s="271"/>
      <c r="R74" s="271"/>
      <c r="S74" s="271"/>
      <c r="T74" s="271"/>
      <c r="U74" s="271"/>
      <c r="V74" s="271"/>
      <c r="W74" s="271"/>
      <c r="X74" s="271"/>
      <c r="Y74" s="271"/>
      <c r="Z74" s="271"/>
    </row>
    <row r="75">
      <c r="A75" s="271"/>
      <c r="B75" s="292"/>
      <c r="C75" s="265"/>
      <c r="D75" s="265"/>
      <c r="E75" s="265"/>
      <c r="F75" s="265"/>
      <c r="G75" s="265"/>
      <c r="H75" s="265"/>
      <c r="I75" s="265"/>
      <c r="J75" s="271"/>
      <c r="K75" s="271"/>
      <c r="L75" s="271"/>
      <c r="M75" s="271"/>
      <c r="N75" s="271"/>
      <c r="O75" s="271"/>
      <c r="P75" s="271"/>
      <c r="Q75" s="271"/>
      <c r="R75" s="271"/>
      <c r="S75" s="271"/>
      <c r="T75" s="271"/>
      <c r="U75" s="271"/>
      <c r="V75" s="271"/>
      <c r="W75" s="271"/>
      <c r="X75" s="271"/>
      <c r="Y75" s="271"/>
      <c r="Z75" s="271"/>
    </row>
    <row r="76">
      <c r="A76" s="271"/>
      <c r="B76" s="273"/>
      <c r="C76" s="258"/>
      <c r="J76" s="271"/>
      <c r="K76" s="271"/>
      <c r="L76" s="271"/>
      <c r="M76" s="271"/>
      <c r="N76" s="271"/>
      <c r="O76" s="271"/>
      <c r="P76" s="271"/>
      <c r="Q76" s="271"/>
      <c r="R76" s="271"/>
      <c r="S76" s="271"/>
      <c r="T76" s="271"/>
      <c r="U76" s="271"/>
      <c r="V76" s="271"/>
      <c r="W76" s="271"/>
      <c r="X76" s="271"/>
      <c r="Y76" s="271"/>
      <c r="Z76" s="271"/>
    </row>
    <row r="77">
      <c r="A77" s="271"/>
      <c r="B77" s="273"/>
      <c r="C77" s="258"/>
      <c r="J77" s="271"/>
      <c r="K77" s="271"/>
      <c r="L77" s="271"/>
      <c r="M77" s="271"/>
      <c r="N77" s="271"/>
      <c r="O77" s="271"/>
      <c r="P77" s="271"/>
      <c r="Q77" s="271"/>
      <c r="R77" s="271"/>
      <c r="S77" s="271"/>
      <c r="T77" s="271"/>
      <c r="U77" s="271"/>
      <c r="V77" s="271"/>
      <c r="W77" s="271"/>
      <c r="X77" s="271"/>
      <c r="Y77" s="271"/>
      <c r="Z77" s="271"/>
    </row>
    <row r="78">
      <c r="A78" s="271"/>
      <c r="B78" s="273"/>
      <c r="C78" s="258"/>
      <c r="J78" s="271"/>
      <c r="K78" s="271"/>
      <c r="L78" s="271"/>
      <c r="M78" s="271"/>
      <c r="N78" s="271"/>
      <c r="O78" s="271"/>
      <c r="P78" s="271"/>
      <c r="Q78" s="271"/>
      <c r="R78" s="271"/>
      <c r="S78" s="271"/>
      <c r="T78" s="271"/>
      <c r="U78" s="271"/>
      <c r="V78" s="271"/>
      <c r="W78" s="271"/>
      <c r="X78" s="271"/>
      <c r="Y78" s="271"/>
      <c r="Z78" s="271"/>
    </row>
    <row r="79">
      <c r="A79" s="271"/>
      <c r="B79" s="291" t="s">
        <v>826</v>
      </c>
      <c r="C79" s="280"/>
      <c r="D79" s="280"/>
      <c r="E79" s="280"/>
      <c r="F79" s="280"/>
      <c r="G79" s="291" t="s">
        <v>826</v>
      </c>
      <c r="H79" s="280"/>
      <c r="I79" s="280"/>
      <c r="J79" s="271"/>
      <c r="K79" s="271"/>
      <c r="L79" s="271"/>
      <c r="M79" s="271"/>
      <c r="N79" s="271"/>
      <c r="O79" s="271"/>
      <c r="P79" s="271"/>
      <c r="Q79" s="271"/>
      <c r="R79" s="271"/>
      <c r="S79" s="271"/>
      <c r="T79" s="271"/>
      <c r="U79" s="271"/>
      <c r="V79" s="271"/>
      <c r="W79" s="271"/>
      <c r="X79" s="271"/>
      <c r="Y79" s="271"/>
      <c r="Z79" s="271"/>
    </row>
    <row r="80">
      <c r="A80" s="271"/>
      <c r="B80" s="273"/>
      <c r="C80" s="258"/>
      <c r="J80" s="271"/>
      <c r="K80" s="271"/>
      <c r="L80" s="271"/>
      <c r="M80" s="271"/>
      <c r="N80" s="271"/>
      <c r="O80" s="271"/>
      <c r="P80" s="271"/>
      <c r="Q80" s="271"/>
      <c r="R80" s="271"/>
      <c r="S80" s="271"/>
      <c r="T80" s="271"/>
      <c r="U80" s="271"/>
      <c r="V80" s="271"/>
      <c r="W80" s="271"/>
      <c r="X80" s="271"/>
      <c r="Y80" s="271"/>
      <c r="Z80" s="271"/>
    </row>
    <row r="81">
      <c r="A81" s="271"/>
      <c r="B81" s="290"/>
      <c r="C81" s="293"/>
      <c r="D81" s="293"/>
      <c r="E81" s="293"/>
      <c r="F81" s="293"/>
      <c r="G81" s="293"/>
      <c r="H81" s="293"/>
      <c r="I81" s="293"/>
      <c r="J81" s="271"/>
      <c r="K81" s="271"/>
      <c r="L81" s="271"/>
      <c r="M81" s="271"/>
      <c r="N81" s="271"/>
      <c r="O81" s="271"/>
      <c r="P81" s="271"/>
      <c r="Q81" s="271"/>
      <c r="R81" s="271"/>
      <c r="S81" s="271"/>
      <c r="T81" s="271"/>
      <c r="U81" s="271"/>
      <c r="V81" s="271"/>
      <c r="W81" s="271"/>
      <c r="X81" s="271"/>
      <c r="Y81" s="271"/>
      <c r="Z81" s="271"/>
    </row>
    <row r="82">
      <c r="A82" s="271"/>
      <c r="C82" s="291"/>
      <c r="D82" s="291"/>
      <c r="E82" s="291"/>
      <c r="F82" s="291"/>
      <c r="G82" s="291"/>
      <c r="H82" s="291"/>
      <c r="I82" s="291"/>
      <c r="J82" s="271"/>
      <c r="K82" s="271"/>
      <c r="L82" s="271"/>
      <c r="M82" s="271"/>
      <c r="N82" s="271"/>
      <c r="O82" s="271"/>
      <c r="P82" s="271"/>
      <c r="Q82" s="271"/>
      <c r="R82" s="271"/>
      <c r="S82" s="271"/>
      <c r="T82" s="271"/>
      <c r="U82" s="271"/>
      <c r="V82" s="271"/>
      <c r="W82" s="271"/>
      <c r="X82" s="271"/>
      <c r="Y82" s="271"/>
      <c r="Z82" s="271"/>
    </row>
    <row r="83">
      <c r="A83" s="271"/>
      <c r="B83" s="292"/>
      <c r="C83" s="265"/>
      <c r="D83" s="265"/>
      <c r="E83" s="265"/>
      <c r="F83" s="265"/>
      <c r="G83" s="265"/>
      <c r="H83" s="265"/>
      <c r="I83" s="265"/>
      <c r="J83" s="271"/>
      <c r="K83" s="271"/>
      <c r="L83" s="271"/>
      <c r="M83" s="271"/>
      <c r="N83" s="271"/>
      <c r="O83" s="271"/>
      <c r="P83" s="271"/>
      <c r="Q83" s="271"/>
      <c r="R83" s="271"/>
      <c r="S83" s="271"/>
      <c r="T83" s="271"/>
      <c r="U83" s="271"/>
      <c r="V83" s="271"/>
      <c r="W83" s="271"/>
      <c r="X83" s="271"/>
      <c r="Y83" s="271"/>
      <c r="Z83" s="271"/>
    </row>
    <row r="84">
      <c r="A84" s="271"/>
      <c r="B84" s="273"/>
      <c r="C84" s="258"/>
      <c r="J84" s="271"/>
      <c r="K84" s="271"/>
      <c r="L84" s="271"/>
      <c r="M84" s="271"/>
      <c r="N84" s="271"/>
      <c r="O84" s="271"/>
      <c r="P84" s="271"/>
      <c r="Q84" s="271"/>
      <c r="R84" s="271"/>
      <c r="S84" s="271"/>
      <c r="T84" s="271"/>
      <c r="U84" s="271"/>
      <c r="V84" s="271"/>
      <c r="W84" s="271"/>
      <c r="X84" s="271"/>
      <c r="Y84" s="271"/>
      <c r="Z84" s="271"/>
    </row>
    <row r="85">
      <c r="A85" s="271"/>
      <c r="B85" s="292"/>
      <c r="C85" s="265"/>
      <c r="D85" s="265"/>
      <c r="E85" s="265"/>
      <c r="F85" s="265"/>
      <c r="G85" s="265"/>
      <c r="H85" s="265"/>
      <c r="I85" s="265"/>
      <c r="J85" s="271"/>
      <c r="K85" s="271"/>
      <c r="L85" s="271"/>
      <c r="M85" s="271"/>
      <c r="N85" s="271"/>
      <c r="O85" s="271"/>
      <c r="P85" s="271"/>
      <c r="Q85" s="271"/>
      <c r="R85" s="271"/>
      <c r="S85" s="271"/>
      <c r="T85" s="271"/>
      <c r="U85" s="271"/>
      <c r="V85" s="271"/>
      <c r="W85" s="271"/>
      <c r="X85" s="271"/>
      <c r="Y85" s="271"/>
      <c r="Z85" s="271"/>
    </row>
    <row r="86">
      <c r="A86" s="271"/>
      <c r="B86" s="273"/>
      <c r="C86" s="261"/>
      <c r="D86" s="261"/>
      <c r="E86" s="261"/>
      <c r="F86" s="261"/>
      <c r="G86" s="261"/>
      <c r="H86" s="261"/>
      <c r="I86" s="261"/>
      <c r="J86" s="271"/>
      <c r="K86" s="271"/>
      <c r="L86" s="271"/>
      <c r="M86" s="271"/>
      <c r="N86" s="271"/>
      <c r="O86" s="271"/>
      <c r="P86" s="271"/>
      <c r="Q86" s="271"/>
      <c r="R86" s="271"/>
      <c r="S86" s="271"/>
      <c r="T86" s="271"/>
      <c r="U86" s="271"/>
      <c r="V86" s="271"/>
      <c r="W86" s="271"/>
      <c r="X86" s="271"/>
      <c r="Y86" s="271"/>
      <c r="Z86" s="271"/>
    </row>
    <row r="87">
      <c r="A87" s="271"/>
      <c r="C87" s="291"/>
      <c r="D87" s="291"/>
      <c r="E87" s="291"/>
      <c r="F87" s="291"/>
      <c r="G87" s="291"/>
      <c r="H87" s="291"/>
      <c r="I87" s="291"/>
      <c r="J87" s="271"/>
      <c r="K87" s="271"/>
      <c r="L87" s="271"/>
      <c r="M87" s="271"/>
      <c r="N87" s="271"/>
      <c r="O87" s="271"/>
      <c r="P87" s="271"/>
      <c r="Q87" s="271"/>
      <c r="R87" s="271"/>
      <c r="S87" s="271"/>
      <c r="T87" s="271"/>
      <c r="U87" s="271"/>
      <c r="V87" s="271"/>
      <c r="W87" s="271"/>
      <c r="X87" s="271"/>
      <c r="Y87" s="271"/>
      <c r="Z87" s="271"/>
    </row>
    <row r="88">
      <c r="A88" s="271"/>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row>
    <row r="89">
      <c r="A89" s="271"/>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row>
    <row r="90">
      <c r="A90" s="271"/>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row>
    <row r="91">
      <c r="A91" s="271"/>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row>
    <row r="92">
      <c r="A92" s="271"/>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row>
    <row r="93">
      <c r="A93" s="271"/>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row>
    <row r="94">
      <c r="A94" s="271"/>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row>
    <row r="95">
      <c r="A95" s="271"/>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row>
    <row r="96">
      <c r="A96" s="271"/>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row>
    <row r="97">
      <c r="A97" s="271"/>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row>
    <row r="98">
      <c r="A98" s="271"/>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row>
    <row r="99">
      <c r="A99" s="271"/>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row>
    <row r="100">
      <c r="A100" s="271"/>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row>
    <row r="101">
      <c r="A101" s="271"/>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row>
    <row r="102">
      <c r="A102" s="271"/>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row>
    <row r="103">
      <c r="A103" s="271"/>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row>
    <row r="104">
      <c r="A104" s="271"/>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row>
    <row r="105">
      <c r="A105" s="271"/>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row>
    <row r="106">
      <c r="A106" s="271"/>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row>
    <row r="107">
      <c r="A107" s="271"/>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row>
    <row r="108">
      <c r="A108" s="271"/>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row>
    <row r="109">
      <c r="A109" s="271"/>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row>
    <row r="110">
      <c r="A110" s="271"/>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row>
    <row r="111">
      <c r="A111" s="271"/>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row>
    <row r="112">
      <c r="A112" s="271"/>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row>
    <row r="113">
      <c r="A113" s="271"/>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row>
    <row r="114">
      <c r="A114" s="271"/>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row>
    <row r="115">
      <c r="A115" s="271"/>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row>
    <row r="116">
      <c r="A116" s="271"/>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row>
    <row r="117">
      <c r="A117" s="271"/>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row>
    <row r="118">
      <c r="A118" s="271"/>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row>
    <row r="119">
      <c r="A119" s="271"/>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row>
    <row r="120">
      <c r="A120" s="271"/>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row>
    <row r="121">
      <c r="A121" s="271"/>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row>
    <row r="122">
      <c r="A122" s="271"/>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row>
    <row r="123">
      <c r="A123" s="271"/>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row>
    <row r="124">
      <c r="A124" s="271"/>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row>
    <row r="125">
      <c r="A125" s="271"/>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row>
    <row r="126">
      <c r="A126" s="271"/>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row>
    <row r="127">
      <c r="A127" s="271"/>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row>
    <row r="128">
      <c r="A128" s="271"/>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row>
    <row r="129">
      <c r="A129" s="271"/>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row>
    <row r="130">
      <c r="A130" s="271"/>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row>
    <row r="131">
      <c r="A131" s="271"/>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row>
    <row r="132">
      <c r="A132" s="271"/>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row>
    <row r="133">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row>
    <row r="134">
      <c r="A134" s="271"/>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row>
    <row r="135">
      <c r="A135" s="271"/>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row>
    <row r="136">
      <c r="A136" s="271"/>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row>
    <row r="137">
      <c r="A137" s="271"/>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row>
    <row r="138">
      <c r="A138" s="271"/>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row>
    <row r="139">
      <c r="A139" s="271"/>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row>
    <row r="140">
      <c r="A140" s="271"/>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row>
    <row r="141">
      <c r="A141" s="271"/>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row>
    <row r="142">
      <c r="A142" s="271"/>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row>
    <row r="143">
      <c r="A143" s="271"/>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row>
    <row r="144">
      <c r="A144" s="271"/>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row>
    <row r="145">
      <c r="A145" s="271"/>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row>
    <row r="146">
      <c r="A146" s="271"/>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row>
    <row r="147">
      <c r="A147" s="271"/>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row>
    <row r="148">
      <c r="A148" s="271"/>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row>
    <row r="149">
      <c r="A149" s="271"/>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row>
    <row r="150">
      <c r="A150" s="271"/>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row>
    <row r="151">
      <c r="A151" s="271"/>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row>
    <row r="152">
      <c r="A152" s="271"/>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row>
    <row r="153">
      <c r="A153" s="271"/>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row>
    <row r="154">
      <c r="A154" s="271"/>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row>
    <row r="155">
      <c r="A155" s="271"/>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row>
    <row r="156">
      <c r="A156" s="271"/>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row>
    <row r="157">
      <c r="A157" s="271"/>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row>
    <row r="158">
      <c r="A158" s="271"/>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row>
    <row r="159">
      <c r="A159" s="271"/>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row>
    <row r="160">
      <c r="A160" s="271"/>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row>
    <row r="161">
      <c r="A161" s="271"/>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row>
    <row r="162">
      <c r="A162" s="271"/>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row>
    <row r="163">
      <c r="A163" s="271"/>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row>
    <row r="164">
      <c r="A164" s="271"/>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row>
    <row r="165">
      <c r="A165" s="271"/>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row>
    <row r="166">
      <c r="A166" s="271"/>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row>
    <row r="167">
      <c r="A167" s="271"/>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row>
    <row r="168">
      <c r="A168" s="271"/>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row>
    <row r="169">
      <c r="A169" s="271"/>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row>
    <row r="170">
      <c r="A170" s="271"/>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row>
    <row r="171">
      <c r="A171" s="271"/>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row>
    <row r="172">
      <c r="A172" s="271"/>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row>
    <row r="173">
      <c r="A173" s="271"/>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row>
    <row r="174">
      <c r="A174" s="271"/>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row>
    <row r="175">
      <c r="A175" s="271"/>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row>
    <row r="176">
      <c r="A176" s="271"/>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row>
    <row r="177">
      <c r="A177" s="271"/>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row>
    <row r="178">
      <c r="A178" s="271"/>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row>
    <row r="179">
      <c r="A179" s="271"/>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row>
    <row r="180">
      <c r="A180" s="271"/>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row>
    <row r="181">
      <c r="A181" s="271"/>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row>
    <row r="182">
      <c r="A182" s="271"/>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row>
    <row r="183">
      <c r="A183" s="271"/>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row>
    <row r="184">
      <c r="A184" s="271"/>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row>
    <row r="185">
      <c r="A185" s="271"/>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row>
    <row r="186">
      <c r="A186" s="271"/>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row>
    <row r="187">
      <c r="A187" s="271"/>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row>
    <row r="188">
      <c r="A188" s="271"/>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row>
    <row r="189">
      <c r="A189" s="271"/>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row>
    <row r="190">
      <c r="A190" s="271"/>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row>
    <row r="191">
      <c r="A191" s="271"/>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row>
    <row r="192">
      <c r="A192" s="271"/>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row>
    <row r="193">
      <c r="A193" s="271"/>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row>
    <row r="194">
      <c r="A194" s="271"/>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row>
    <row r="195">
      <c r="A195" s="271"/>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row>
    <row r="196">
      <c r="A196" s="271"/>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row>
    <row r="197">
      <c r="A197" s="271"/>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row>
    <row r="198">
      <c r="A198" s="271"/>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row>
    <row r="199">
      <c r="A199" s="271"/>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row>
    <row r="200">
      <c r="A200" s="271"/>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row>
    <row r="201">
      <c r="A201" s="271"/>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row>
    <row r="202">
      <c r="A202" s="271"/>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row>
    <row r="203">
      <c r="A203" s="271"/>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row>
    <row r="204">
      <c r="A204" s="271"/>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row>
    <row r="205">
      <c r="A205" s="271"/>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row>
    <row r="206">
      <c r="A206" s="271"/>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row>
    <row r="207">
      <c r="A207" s="271"/>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row>
    <row r="208">
      <c r="A208" s="271"/>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row>
    <row r="209">
      <c r="A209" s="271"/>
      <c r="B209" s="271"/>
      <c r="C209" s="271"/>
      <c r="D209" s="271"/>
      <c r="E209" s="271"/>
      <c r="F209" s="271"/>
      <c r="G209" s="271"/>
      <c r="H209" s="271"/>
      <c r="I209" s="271"/>
      <c r="J209" s="271"/>
      <c r="K209" s="271"/>
      <c r="L209" s="271"/>
      <c r="M209" s="271"/>
      <c r="N209" s="271"/>
      <c r="O209" s="271"/>
      <c r="P209" s="271"/>
      <c r="Q209" s="271"/>
      <c r="R209" s="271"/>
      <c r="S209" s="271"/>
      <c r="T209" s="271"/>
      <c r="U209" s="271"/>
      <c r="V209" s="271"/>
      <c r="W209" s="271"/>
      <c r="X209" s="271"/>
      <c r="Y209" s="271"/>
      <c r="Z209" s="271"/>
    </row>
    <row r="210">
      <c r="A210" s="271"/>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row>
    <row r="211">
      <c r="A211" s="271"/>
      <c r="B211" s="271"/>
      <c r="C211" s="271"/>
      <c r="D211" s="271"/>
      <c r="E211" s="271"/>
      <c r="F211" s="271"/>
      <c r="G211" s="271"/>
      <c r="H211" s="271"/>
      <c r="I211" s="271"/>
      <c r="J211" s="271"/>
      <c r="K211" s="271"/>
      <c r="L211" s="271"/>
      <c r="M211" s="271"/>
      <c r="N211" s="271"/>
      <c r="O211" s="271"/>
      <c r="P211" s="271"/>
      <c r="Q211" s="271"/>
      <c r="R211" s="271"/>
      <c r="S211" s="271"/>
      <c r="T211" s="271"/>
      <c r="U211" s="271"/>
      <c r="V211" s="271"/>
      <c r="W211" s="271"/>
      <c r="X211" s="271"/>
      <c r="Y211" s="271"/>
      <c r="Z211" s="271"/>
    </row>
    <row r="212">
      <c r="A212" s="271"/>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row>
    <row r="213">
      <c r="A213" s="271"/>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row>
    <row r="214">
      <c r="A214" s="271"/>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row>
    <row r="215">
      <c r="A215" s="271"/>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row>
    <row r="216">
      <c r="A216" s="271"/>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row>
    <row r="217">
      <c r="A217" s="271"/>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row>
    <row r="218">
      <c r="A218" s="271"/>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row>
    <row r="219">
      <c r="A219" s="271"/>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row>
    <row r="220">
      <c r="A220" s="271"/>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row>
    <row r="221">
      <c r="A221" s="271"/>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row>
    <row r="222">
      <c r="A222" s="271"/>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row>
    <row r="223">
      <c r="A223" s="271"/>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row>
    <row r="224">
      <c r="A224" s="271"/>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row>
    <row r="225">
      <c r="A225" s="271"/>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row>
    <row r="226">
      <c r="A226" s="271"/>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row>
    <row r="227">
      <c r="A227" s="271"/>
      <c r="B227" s="271"/>
      <c r="C227" s="271"/>
      <c r="D227" s="271"/>
      <c r="E227" s="271"/>
      <c r="F227" s="271"/>
      <c r="G227" s="271"/>
      <c r="H227" s="271"/>
      <c r="I227" s="271"/>
      <c r="J227" s="271"/>
      <c r="K227" s="271"/>
      <c r="L227" s="271"/>
      <c r="M227" s="271"/>
      <c r="N227" s="271"/>
      <c r="O227" s="271"/>
      <c r="P227" s="271"/>
      <c r="Q227" s="271"/>
      <c r="R227" s="271"/>
      <c r="S227" s="271"/>
      <c r="T227" s="271"/>
      <c r="U227" s="271"/>
      <c r="V227" s="271"/>
      <c r="W227" s="271"/>
      <c r="X227" s="271"/>
      <c r="Y227" s="271"/>
      <c r="Z227" s="271"/>
    </row>
    <row r="228">
      <c r="A228" s="271"/>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row>
    <row r="229">
      <c r="A229" s="271"/>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row>
    <row r="230">
      <c r="A230" s="271"/>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row>
    <row r="231">
      <c r="A231" s="271"/>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row>
    <row r="232">
      <c r="A232" s="271"/>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row>
    <row r="233">
      <c r="A233" s="271"/>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row>
    <row r="234">
      <c r="A234" s="271"/>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row>
    <row r="235">
      <c r="A235" s="271"/>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row>
    <row r="236">
      <c r="A236" s="271"/>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row>
    <row r="237">
      <c r="A237" s="271"/>
      <c r="B237" s="271"/>
      <c r="C237" s="271"/>
      <c r="D237" s="271"/>
      <c r="E237" s="271"/>
      <c r="F237" s="271"/>
      <c r="G237" s="271"/>
      <c r="H237" s="271"/>
      <c r="I237" s="271"/>
      <c r="J237" s="271"/>
      <c r="K237" s="271"/>
      <c r="L237" s="271"/>
      <c r="M237" s="271"/>
      <c r="N237" s="271"/>
      <c r="O237" s="271"/>
      <c r="P237" s="271"/>
      <c r="Q237" s="271"/>
      <c r="R237" s="271"/>
      <c r="S237" s="271"/>
      <c r="T237" s="271"/>
      <c r="U237" s="271"/>
      <c r="V237" s="271"/>
      <c r="W237" s="271"/>
      <c r="X237" s="271"/>
      <c r="Y237" s="271"/>
      <c r="Z237" s="271"/>
    </row>
    <row r="238">
      <c r="A238" s="271"/>
      <c r="B238" s="271"/>
      <c r="C238" s="271"/>
      <c r="D238" s="271"/>
      <c r="E238" s="271"/>
      <c r="F238" s="271"/>
      <c r="G238" s="271"/>
      <c r="H238" s="271"/>
      <c r="I238" s="271"/>
      <c r="J238" s="271"/>
      <c r="K238" s="271"/>
      <c r="L238" s="271"/>
      <c r="M238" s="271"/>
      <c r="N238" s="271"/>
      <c r="O238" s="271"/>
      <c r="P238" s="271"/>
      <c r="Q238" s="271"/>
      <c r="R238" s="271"/>
      <c r="S238" s="271"/>
      <c r="T238" s="271"/>
      <c r="U238" s="271"/>
      <c r="V238" s="271"/>
      <c r="W238" s="271"/>
      <c r="X238" s="271"/>
      <c r="Y238" s="271"/>
      <c r="Z238" s="271"/>
    </row>
    <row r="239">
      <c r="A239" s="271"/>
      <c r="B239" s="271"/>
      <c r="C239" s="271"/>
      <c r="D239" s="271"/>
      <c r="E239" s="271"/>
      <c r="F239" s="271"/>
      <c r="G239" s="271"/>
      <c r="H239" s="271"/>
      <c r="I239" s="271"/>
      <c r="J239" s="271"/>
      <c r="K239" s="271"/>
      <c r="L239" s="271"/>
      <c r="M239" s="271"/>
      <c r="N239" s="271"/>
      <c r="O239" s="271"/>
      <c r="P239" s="271"/>
      <c r="Q239" s="271"/>
      <c r="R239" s="271"/>
      <c r="S239" s="271"/>
      <c r="T239" s="271"/>
      <c r="U239" s="271"/>
      <c r="V239" s="271"/>
      <c r="W239" s="271"/>
      <c r="X239" s="271"/>
      <c r="Y239" s="271"/>
      <c r="Z239" s="271"/>
    </row>
    <row r="240">
      <c r="A240" s="271"/>
      <c r="B240" s="271"/>
      <c r="C240" s="271"/>
      <c r="D240" s="271"/>
      <c r="E240" s="271"/>
      <c r="F240" s="271"/>
      <c r="G240" s="271"/>
      <c r="H240" s="271"/>
      <c r="I240" s="271"/>
      <c r="J240" s="271"/>
      <c r="K240" s="271"/>
      <c r="L240" s="271"/>
      <c r="M240" s="271"/>
      <c r="N240" s="271"/>
      <c r="O240" s="271"/>
      <c r="P240" s="271"/>
      <c r="Q240" s="271"/>
      <c r="R240" s="271"/>
      <c r="S240" s="271"/>
      <c r="T240" s="271"/>
      <c r="U240" s="271"/>
      <c r="V240" s="271"/>
      <c r="W240" s="271"/>
      <c r="X240" s="271"/>
      <c r="Y240" s="271"/>
      <c r="Z240" s="271"/>
    </row>
    <row r="241">
      <c r="A241" s="271"/>
      <c r="B241" s="271"/>
      <c r="C241" s="271"/>
      <c r="D241" s="271"/>
      <c r="E241" s="271"/>
      <c r="F241" s="271"/>
      <c r="G241" s="271"/>
      <c r="H241" s="271"/>
      <c r="I241" s="271"/>
      <c r="J241" s="271"/>
      <c r="K241" s="271"/>
      <c r="L241" s="271"/>
      <c r="M241" s="271"/>
      <c r="N241" s="271"/>
      <c r="O241" s="271"/>
      <c r="P241" s="271"/>
      <c r="Q241" s="271"/>
      <c r="R241" s="271"/>
      <c r="S241" s="271"/>
      <c r="T241" s="271"/>
      <c r="U241" s="271"/>
      <c r="V241" s="271"/>
      <c r="W241" s="271"/>
      <c r="X241" s="271"/>
      <c r="Y241" s="271"/>
      <c r="Z241" s="271"/>
    </row>
    <row r="242">
      <c r="A242" s="271"/>
      <c r="B242" s="271"/>
      <c r="C242" s="271"/>
      <c r="D242" s="271"/>
      <c r="E242" s="271"/>
      <c r="F242" s="271"/>
      <c r="G242" s="271"/>
      <c r="H242" s="271"/>
      <c r="I242" s="271"/>
      <c r="J242" s="271"/>
      <c r="K242" s="271"/>
      <c r="L242" s="271"/>
      <c r="M242" s="271"/>
      <c r="N242" s="271"/>
      <c r="O242" s="271"/>
      <c r="P242" s="271"/>
      <c r="Q242" s="271"/>
      <c r="R242" s="271"/>
      <c r="S242" s="271"/>
      <c r="T242" s="271"/>
      <c r="U242" s="271"/>
      <c r="V242" s="271"/>
      <c r="W242" s="271"/>
      <c r="X242" s="271"/>
      <c r="Y242" s="271"/>
      <c r="Z242" s="271"/>
    </row>
    <row r="243">
      <c r="A243" s="271"/>
      <c r="B243" s="271"/>
      <c r="C243" s="271"/>
      <c r="D243" s="271"/>
      <c r="E243" s="271"/>
      <c r="F243" s="271"/>
      <c r="G243" s="271"/>
      <c r="H243" s="271"/>
      <c r="I243" s="271"/>
      <c r="J243" s="271"/>
      <c r="K243" s="271"/>
      <c r="L243" s="271"/>
      <c r="M243" s="271"/>
      <c r="N243" s="271"/>
      <c r="O243" s="271"/>
      <c r="P243" s="271"/>
      <c r="Q243" s="271"/>
      <c r="R243" s="271"/>
      <c r="S243" s="271"/>
      <c r="T243" s="271"/>
      <c r="U243" s="271"/>
      <c r="V243" s="271"/>
      <c r="W243" s="271"/>
      <c r="X243" s="271"/>
      <c r="Y243" s="271"/>
      <c r="Z243" s="271"/>
    </row>
    <row r="244">
      <c r="A244" s="271"/>
      <c r="B244" s="271"/>
      <c r="C244" s="271"/>
      <c r="D244" s="271"/>
      <c r="E244" s="271"/>
      <c r="F244" s="271"/>
      <c r="G244" s="271"/>
      <c r="H244" s="271"/>
      <c r="I244" s="271"/>
      <c r="J244" s="271"/>
      <c r="K244" s="271"/>
      <c r="L244" s="271"/>
      <c r="M244" s="271"/>
      <c r="N244" s="271"/>
      <c r="O244" s="271"/>
      <c r="P244" s="271"/>
      <c r="Q244" s="271"/>
      <c r="R244" s="271"/>
      <c r="S244" s="271"/>
      <c r="T244" s="271"/>
      <c r="U244" s="271"/>
      <c r="V244" s="271"/>
      <c r="W244" s="271"/>
      <c r="X244" s="271"/>
      <c r="Y244" s="271"/>
      <c r="Z244" s="271"/>
    </row>
    <row r="245">
      <c r="A245" s="271"/>
      <c r="B245" s="271"/>
      <c r="C245" s="271"/>
      <c r="D245" s="271"/>
      <c r="E245" s="271"/>
      <c r="F245" s="271"/>
      <c r="G245" s="271"/>
      <c r="H245" s="271"/>
      <c r="I245" s="271"/>
      <c r="J245" s="271"/>
      <c r="K245" s="271"/>
      <c r="L245" s="271"/>
      <c r="M245" s="271"/>
      <c r="N245" s="271"/>
      <c r="O245" s="271"/>
      <c r="P245" s="271"/>
      <c r="Q245" s="271"/>
      <c r="R245" s="271"/>
      <c r="S245" s="271"/>
      <c r="T245" s="271"/>
      <c r="U245" s="271"/>
      <c r="V245" s="271"/>
      <c r="W245" s="271"/>
      <c r="X245" s="271"/>
      <c r="Y245" s="271"/>
      <c r="Z245" s="271"/>
    </row>
    <row r="246">
      <c r="A246" s="271"/>
      <c r="B246" s="271"/>
      <c r="C246" s="271"/>
      <c r="D246" s="271"/>
      <c r="E246" s="271"/>
      <c r="F246" s="271"/>
      <c r="G246" s="271"/>
      <c r="H246" s="271"/>
      <c r="I246" s="271"/>
      <c r="J246" s="271"/>
      <c r="K246" s="271"/>
      <c r="L246" s="271"/>
      <c r="M246" s="271"/>
      <c r="N246" s="271"/>
      <c r="O246" s="271"/>
      <c r="P246" s="271"/>
      <c r="Q246" s="271"/>
      <c r="R246" s="271"/>
      <c r="S246" s="271"/>
      <c r="T246" s="271"/>
      <c r="U246" s="271"/>
      <c r="V246" s="271"/>
      <c r="W246" s="271"/>
      <c r="X246" s="271"/>
      <c r="Y246" s="271"/>
      <c r="Z246" s="271"/>
    </row>
    <row r="247">
      <c r="A247" s="271"/>
      <c r="B247" s="271"/>
      <c r="C247" s="271"/>
      <c r="D247" s="271"/>
      <c r="E247" s="271"/>
      <c r="F247" s="271"/>
      <c r="G247" s="271"/>
      <c r="H247" s="271"/>
      <c r="I247" s="271"/>
      <c r="J247" s="271"/>
      <c r="K247" s="271"/>
      <c r="L247" s="271"/>
      <c r="M247" s="271"/>
      <c r="N247" s="271"/>
      <c r="O247" s="271"/>
      <c r="P247" s="271"/>
      <c r="Q247" s="271"/>
      <c r="R247" s="271"/>
      <c r="S247" s="271"/>
      <c r="T247" s="271"/>
      <c r="U247" s="271"/>
      <c r="V247" s="271"/>
      <c r="W247" s="271"/>
      <c r="X247" s="271"/>
      <c r="Y247" s="271"/>
      <c r="Z247" s="271"/>
    </row>
    <row r="248">
      <c r="A248" s="271"/>
      <c r="B248" s="271"/>
      <c r="C248" s="271"/>
      <c r="D248" s="271"/>
      <c r="E248" s="271"/>
      <c r="F248" s="271"/>
      <c r="G248" s="271"/>
      <c r="H248" s="271"/>
      <c r="I248" s="271"/>
      <c r="J248" s="271"/>
      <c r="K248" s="271"/>
      <c r="L248" s="271"/>
      <c r="M248" s="271"/>
      <c r="N248" s="271"/>
      <c r="O248" s="271"/>
      <c r="P248" s="271"/>
      <c r="Q248" s="271"/>
      <c r="R248" s="271"/>
      <c r="S248" s="271"/>
      <c r="T248" s="271"/>
      <c r="U248" s="271"/>
      <c r="V248" s="271"/>
      <c r="W248" s="271"/>
      <c r="X248" s="271"/>
      <c r="Y248" s="271"/>
      <c r="Z248" s="271"/>
    </row>
    <row r="249">
      <c r="A249" s="271"/>
      <c r="B249" s="271"/>
      <c r="C249" s="271"/>
      <c r="D249" s="271"/>
      <c r="E249" s="271"/>
      <c r="F249" s="271"/>
      <c r="G249" s="271"/>
      <c r="H249" s="271"/>
      <c r="I249" s="271"/>
      <c r="J249" s="271"/>
      <c r="K249" s="271"/>
      <c r="L249" s="271"/>
      <c r="M249" s="271"/>
      <c r="N249" s="271"/>
      <c r="O249" s="271"/>
      <c r="P249" s="271"/>
      <c r="Q249" s="271"/>
      <c r="R249" s="271"/>
      <c r="S249" s="271"/>
      <c r="T249" s="271"/>
      <c r="U249" s="271"/>
      <c r="V249" s="271"/>
      <c r="W249" s="271"/>
      <c r="X249" s="271"/>
      <c r="Y249" s="271"/>
      <c r="Z249" s="271"/>
    </row>
    <row r="250">
      <c r="A250" s="271"/>
      <c r="B250" s="271"/>
      <c r="C250" s="271"/>
      <c r="D250" s="271"/>
      <c r="E250" s="271"/>
      <c r="F250" s="271"/>
      <c r="G250" s="271"/>
      <c r="H250" s="271"/>
      <c r="I250" s="271"/>
      <c r="J250" s="271"/>
      <c r="K250" s="271"/>
      <c r="L250" s="271"/>
      <c r="M250" s="271"/>
      <c r="N250" s="271"/>
      <c r="O250" s="271"/>
      <c r="P250" s="271"/>
      <c r="Q250" s="271"/>
      <c r="R250" s="271"/>
      <c r="S250" s="271"/>
      <c r="T250" s="271"/>
      <c r="U250" s="271"/>
      <c r="V250" s="271"/>
      <c r="W250" s="271"/>
      <c r="X250" s="271"/>
      <c r="Y250" s="271"/>
      <c r="Z250" s="271"/>
    </row>
    <row r="251">
      <c r="A251" s="271"/>
      <c r="B251" s="271"/>
      <c r="C251" s="271"/>
      <c r="D251" s="271"/>
      <c r="E251" s="271"/>
      <c r="F251" s="271"/>
      <c r="G251" s="271"/>
      <c r="H251" s="271"/>
      <c r="I251" s="271"/>
      <c r="J251" s="271"/>
      <c r="K251" s="271"/>
      <c r="L251" s="271"/>
      <c r="M251" s="271"/>
      <c r="N251" s="271"/>
      <c r="O251" s="271"/>
      <c r="P251" s="271"/>
      <c r="Q251" s="271"/>
      <c r="R251" s="271"/>
      <c r="S251" s="271"/>
      <c r="T251" s="271"/>
      <c r="U251" s="271"/>
      <c r="V251" s="271"/>
      <c r="W251" s="271"/>
      <c r="X251" s="271"/>
      <c r="Y251" s="271"/>
      <c r="Z251" s="271"/>
    </row>
    <row r="252">
      <c r="A252" s="271"/>
      <c r="B252" s="271"/>
      <c r="C252" s="271"/>
      <c r="D252" s="271"/>
      <c r="E252" s="271"/>
      <c r="F252" s="271"/>
      <c r="G252" s="271"/>
      <c r="H252" s="271"/>
      <c r="I252" s="271"/>
      <c r="J252" s="271"/>
      <c r="K252" s="271"/>
      <c r="L252" s="271"/>
      <c r="M252" s="271"/>
      <c r="N252" s="271"/>
      <c r="O252" s="271"/>
      <c r="P252" s="271"/>
      <c r="Q252" s="271"/>
      <c r="R252" s="271"/>
      <c r="S252" s="271"/>
      <c r="T252" s="271"/>
      <c r="U252" s="271"/>
      <c r="V252" s="271"/>
      <c r="W252" s="271"/>
      <c r="X252" s="271"/>
      <c r="Y252" s="271"/>
      <c r="Z252" s="271"/>
    </row>
    <row r="253">
      <c r="A253" s="271"/>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row>
    <row r="254">
      <c r="A254" s="271"/>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row>
    <row r="255">
      <c r="A255" s="271"/>
      <c r="B255" s="271"/>
      <c r="C255" s="271"/>
      <c r="D255" s="271"/>
      <c r="E255" s="271"/>
      <c r="F255" s="271"/>
      <c r="G255" s="271"/>
      <c r="H255" s="271"/>
      <c r="I255" s="271"/>
      <c r="J255" s="271"/>
      <c r="K255" s="271"/>
      <c r="L255" s="271"/>
      <c r="M255" s="271"/>
      <c r="N255" s="271"/>
      <c r="O255" s="271"/>
      <c r="P255" s="271"/>
      <c r="Q255" s="271"/>
      <c r="R255" s="271"/>
      <c r="S255" s="271"/>
      <c r="T255" s="271"/>
      <c r="U255" s="271"/>
      <c r="V255" s="271"/>
      <c r="W255" s="271"/>
      <c r="X255" s="271"/>
      <c r="Y255" s="271"/>
      <c r="Z255" s="271"/>
    </row>
    <row r="256">
      <c r="A256" s="271"/>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row>
    <row r="257">
      <c r="A257" s="271"/>
      <c r="B257" s="271"/>
      <c r="C257" s="271"/>
      <c r="D257" s="271"/>
      <c r="E257" s="271"/>
      <c r="F257" s="271"/>
      <c r="G257" s="271"/>
      <c r="H257" s="271"/>
      <c r="I257" s="271"/>
      <c r="J257" s="271"/>
      <c r="K257" s="271"/>
      <c r="L257" s="271"/>
      <c r="M257" s="271"/>
      <c r="N257" s="271"/>
      <c r="O257" s="271"/>
      <c r="P257" s="271"/>
      <c r="Q257" s="271"/>
      <c r="R257" s="271"/>
      <c r="S257" s="271"/>
      <c r="T257" s="271"/>
      <c r="U257" s="271"/>
      <c r="V257" s="271"/>
      <c r="W257" s="271"/>
      <c r="X257" s="271"/>
      <c r="Y257" s="271"/>
      <c r="Z257" s="271"/>
    </row>
    <row r="258">
      <c r="A258" s="271"/>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row>
    <row r="259">
      <c r="A259" s="271"/>
      <c r="B259" s="271"/>
      <c r="C259" s="271"/>
      <c r="D259" s="271"/>
      <c r="E259" s="271"/>
      <c r="F259" s="271"/>
      <c r="G259" s="271"/>
      <c r="H259" s="271"/>
      <c r="I259" s="271"/>
      <c r="J259" s="271"/>
      <c r="K259" s="271"/>
      <c r="L259" s="271"/>
      <c r="M259" s="271"/>
      <c r="N259" s="271"/>
      <c r="O259" s="271"/>
      <c r="P259" s="271"/>
      <c r="Q259" s="271"/>
      <c r="R259" s="271"/>
      <c r="S259" s="271"/>
      <c r="T259" s="271"/>
      <c r="U259" s="271"/>
      <c r="V259" s="271"/>
      <c r="W259" s="271"/>
      <c r="X259" s="271"/>
      <c r="Y259" s="271"/>
      <c r="Z259" s="271"/>
    </row>
    <row r="260">
      <c r="A260" s="271"/>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row>
    <row r="261">
      <c r="A261" s="271"/>
      <c r="B261" s="271"/>
      <c r="C261" s="271"/>
      <c r="D261" s="271"/>
      <c r="E261" s="271"/>
      <c r="F261" s="271"/>
      <c r="G261" s="271"/>
      <c r="H261" s="271"/>
      <c r="I261" s="271"/>
      <c r="J261" s="271"/>
      <c r="K261" s="271"/>
      <c r="L261" s="271"/>
      <c r="M261" s="271"/>
      <c r="N261" s="271"/>
      <c r="O261" s="271"/>
      <c r="P261" s="271"/>
      <c r="Q261" s="271"/>
      <c r="R261" s="271"/>
      <c r="S261" s="271"/>
      <c r="T261" s="271"/>
      <c r="U261" s="271"/>
      <c r="V261" s="271"/>
      <c r="W261" s="271"/>
      <c r="X261" s="271"/>
      <c r="Y261" s="271"/>
      <c r="Z261" s="271"/>
    </row>
    <row r="262">
      <c r="A262" s="271"/>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row>
    <row r="263">
      <c r="A263" s="271"/>
      <c r="B263" s="271"/>
      <c r="C263" s="271"/>
      <c r="D263" s="271"/>
      <c r="E263" s="271"/>
      <c r="F263" s="271"/>
      <c r="G263" s="271"/>
      <c r="H263" s="271"/>
      <c r="I263" s="271"/>
      <c r="J263" s="271"/>
      <c r="K263" s="271"/>
      <c r="L263" s="271"/>
      <c r="M263" s="271"/>
      <c r="N263" s="271"/>
      <c r="O263" s="271"/>
      <c r="P263" s="271"/>
      <c r="Q263" s="271"/>
      <c r="R263" s="271"/>
      <c r="S263" s="271"/>
      <c r="T263" s="271"/>
      <c r="U263" s="271"/>
      <c r="V263" s="271"/>
      <c r="W263" s="271"/>
      <c r="X263" s="271"/>
      <c r="Y263" s="271"/>
      <c r="Z263" s="271"/>
    </row>
    <row r="264">
      <c r="A264" s="271"/>
      <c r="B264" s="271"/>
      <c r="C264" s="271"/>
      <c r="D264" s="271"/>
      <c r="E264" s="271"/>
      <c r="F264" s="271"/>
      <c r="G264" s="271"/>
      <c r="H264" s="271"/>
      <c r="I264" s="271"/>
      <c r="J264" s="271"/>
      <c r="K264" s="271"/>
      <c r="L264" s="271"/>
      <c r="M264" s="271"/>
      <c r="N264" s="271"/>
      <c r="O264" s="271"/>
      <c r="P264" s="271"/>
      <c r="Q264" s="271"/>
      <c r="R264" s="271"/>
      <c r="S264" s="271"/>
      <c r="T264" s="271"/>
      <c r="U264" s="271"/>
      <c r="V264" s="271"/>
      <c r="W264" s="271"/>
      <c r="X264" s="271"/>
      <c r="Y264" s="271"/>
      <c r="Z264" s="271"/>
    </row>
    <row r="265">
      <c r="A265" s="271"/>
      <c r="B265" s="271"/>
      <c r="C265" s="271"/>
      <c r="D265" s="271"/>
      <c r="E265" s="271"/>
      <c r="F265" s="271"/>
      <c r="G265" s="271"/>
      <c r="H265" s="271"/>
      <c r="I265" s="271"/>
      <c r="J265" s="271"/>
      <c r="K265" s="271"/>
      <c r="L265" s="271"/>
      <c r="M265" s="271"/>
      <c r="N265" s="271"/>
      <c r="O265" s="271"/>
      <c r="P265" s="271"/>
      <c r="Q265" s="271"/>
      <c r="R265" s="271"/>
      <c r="S265" s="271"/>
      <c r="T265" s="271"/>
      <c r="U265" s="271"/>
      <c r="V265" s="271"/>
      <c r="W265" s="271"/>
      <c r="X265" s="271"/>
      <c r="Y265" s="271"/>
      <c r="Z265" s="271"/>
    </row>
    <row r="266">
      <c r="A266" s="271"/>
      <c r="B266" s="271"/>
      <c r="C266" s="271"/>
      <c r="D266" s="271"/>
      <c r="E266" s="271"/>
      <c r="F266" s="271"/>
      <c r="G266" s="271"/>
      <c r="H266" s="271"/>
      <c r="I266" s="271"/>
      <c r="J266" s="271"/>
      <c r="K266" s="271"/>
      <c r="L266" s="271"/>
      <c r="M266" s="271"/>
      <c r="N266" s="271"/>
      <c r="O266" s="271"/>
      <c r="P266" s="271"/>
      <c r="Q266" s="271"/>
      <c r="R266" s="271"/>
      <c r="S266" s="271"/>
      <c r="T266" s="271"/>
      <c r="U266" s="271"/>
      <c r="V266" s="271"/>
      <c r="W266" s="271"/>
      <c r="X266" s="271"/>
      <c r="Y266" s="271"/>
      <c r="Z266" s="271"/>
    </row>
    <row r="267">
      <c r="A267" s="271"/>
      <c r="B267" s="271"/>
      <c r="C267" s="271"/>
      <c r="D267" s="271"/>
      <c r="E267" s="271"/>
      <c r="F267" s="271"/>
      <c r="G267" s="271"/>
      <c r="H267" s="271"/>
      <c r="I267" s="271"/>
      <c r="J267" s="271"/>
      <c r="K267" s="271"/>
      <c r="L267" s="271"/>
      <c r="M267" s="271"/>
      <c r="N267" s="271"/>
      <c r="O267" s="271"/>
      <c r="P267" s="271"/>
      <c r="Q267" s="271"/>
      <c r="R267" s="271"/>
      <c r="S267" s="271"/>
      <c r="T267" s="271"/>
      <c r="U267" s="271"/>
      <c r="V267" s="271"/>
      <c r="W267" s="271"/>
      <c r="X267" s="271"/>
      <c r="Y267" s="271"/>
      <c r="Z267" s="271"/>
    </row>
    <row r="268">
      <c r="A268" s="271"/>
      <c r="B268" s="271"/>
      <c r="C268" s="271"/>
      <c r="D268" s="271"/>
      <c r="E268" s="271"/>
      <c r="F268" s="271"/>
      <c r="G268" s="271"/>
      <c r="H268" s="271"/>
      <c r="I268" s="271"/>
      <c r="J268" s="271"/>
      <c r="K268" s="271"/>
      <c r="L268" s="271"/>
      <c r="M268" s="271"/>
      <c r="N268" s="271"/>
      <c r="O268" s="271"/>
      <c r="P268" s="271"/>
      <c r="Q268" s="271"/>
      <c r="R268" s="271"/>
      <c r="S268" s="271"/>
      <c r="T268" s="271"/>
      <c r="U268" s="271"/>
      <c r="V268" s="271"/>
      <c r="W268" s="271"/>
      <c r="X268" s="271"/>
      <c r="Y268" s="271"/>
      <c r="Z268" s="271"/>
    </row>
    <row r="269">
      <c r="A269" s="271"/>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row>
    <row r="270">
      <c r="A270" s="271"/>
      <c r="B270" s="271"/>
      <c r="C270" s="271"/>
      <c r="D270" s="271"/>
      <c r="E270" s="271"/>
      <c r="F270" s="271"/>
      <c r="G270" s="271"/>
      <c r="H270" s="271"/>
      <c r="I270" s="271"/>
      <c r="J270" s="271"/>
      <c r="K270" s="271"/>
      <c r="L270" s="271"/>
      <c r="M270" s="271"/>
      <c r="N270" s="271"/>
      <c r="O270" s="271"/>
      <c r="P270" s="271"/>
      <c r="Q270" s="271"/>
      <c r="R270" s="271"/>
      <c r="S270" s="271"/>
      <c r="T270" s="271"/>
      <c r="U270" s="271"/>
      <c r="V270" s="271"/>
      <c r="W270" s="271"/>
      <c r="X270" s="271"/>
      <c r="Y270" s="271"/>
      <c r="Z270" s="271"/>
    </row>
    <row r="271">
      <c r="A271" s="271"/>
      <c r="B271" s="271"/>
      <c r="C271" s="271"/>
      <c r="D271" s="271"/>
      <c r="E271" s="271"/>
      <c r="F271" s="271"/>
      <c r="G271" s="271"/>
      <c r="H271" s="271"/>
      <c r="I271" s="271"/>
      <c r="J271" s="271"/>
      <c r="K271" s="271"/>
      <c r="L271" s="271"/>
      <c r="M271" s="271"/>
      <c r="N271" s="271"/>
      <c r="O271" s="271"/>
      <c r="P271" s="271"/>
      <c r="Q271" s="271"/>
      <c r="R271" s="271"/>
      <c r="S271" s="271"/>
      <c r="T271" s="271"/>
      <c r="U271" s="271"/>
      <c r="V271" s="271"/>
      <c r="W271" s="271"/>
      <c r="X271" s="271"/>
      <c r="Y271" s="271"/>
      <c r="Z271" s="271"/>
    </row>
    <row r="272">
      <c r="A272" s="271"/>
      <c r="B272" s="271"/>
      <c r="C272" s="271"/>
      <c r="D272" s="271"/>
      <c r="E272" s="271"/>
      <c r="F272" s="271"/>
      <c r="G272" s="271"/>
      <c r="H272" s="271"/>
      <c r="I272" s="271"/>
      <c r="J272" s="271"/>
      <c r="K272" s="271"/>
      <c r="L272" s="271"/>
      <c r="M272" s="271"/>
      <c r="N272" s="271"/>
      <c r="O272" s="271"/>
      <c r="P272" s="271"/>
      <c r="Q272" s="271"/>
      <c r="R272" s="271"/>
      <c r="S272" s="271"/>
      <c r="T272" s="271"/>
      <c r="U272" s="271"/>
      <c r="V272" s="271"/>
      <c r="W272" s="271"/>
      <c r="X272" s="271"/>
      <c r="Y272" s="271"/>
      <c r="Z272" s="271"/>
    </row>
    <row r="273">
      <c r="A273" s="271"/>
      <c r="B273" s="271"/>
      <c r="C273" s="271"/>
      <c r="D273" s="271"/>
      <c r="E273" s="271"/>
      <c r="F273" s="271"/>
      <c r="G273" s="271"/>
      <c r="H273" s="271"/>
      <c r="I273" s="271"/>
      <c r="J273" s="271"/>
      <c r="K273" s="271"/>
      <c r="L273" s="271"/>
      <c r="M273" s="271"/>
      <c r="N273" s="271"/>
      <c r="O273" s="271"/>
      <c r="P273" s="271"/>
      <c r="Q273" s="271"/>
      <c r="R273" s="271"/>
      <c r="S273" s="271"/>
      <c r="T273" s="271"/>
      <c r="U273" s="271"/>
      <c r="V273" s="271"/>
      <c r="W273" s="271"/>
      <c r="X273" s="271"/>
      <c r="Y273" s="271"/>
      <c r="Z273" s="271"/>
    </row>
    <row r="274">
      <c r="A274" s="271"/>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row>
    <row r="275">
      <c r="A275" s="271"/>
      <c r="B275" s="271"/>
      <c r="C275" s="271"/>
      <c r="D275" s="271"/>
      <c r="E275" s="271"/>
      <c r="F275" s="271"/>
      <c r="G275" s="271"/>
      <c r="H275" s="271"/>
      <c r="I275" s="271"/>
      <c r="J275" s="271"/>
      <c r="K275" s="271"/>
      <c r="L275" s="271"/>
      <c r="M275" s="271"/>
      <c r="N275" s="271"/>
      <c r="O275" s="271"/>
      <c r="P275" s="271"/>
      <c r="Q275" s="271"/>
      <c r="R275" s="271"/>
      <c r="S275" s="271"/>
      <c r="T275" s="271"/>
      <c r="U275" s="271"/>
      <c r="V275" s="271"/>
      <c r="W275" s="271"/>
      <c r="X275" s="271"/>
      <c r="Y275" s="271"/>
      <c r="Z275" s="271"/>
    </row>
    <row r="276">
      <c r="A276" s="271"/>
      <c r="B276" s="271"/>
      <c r="C276" s="271"/>
      <c r="D276" s="271"/>
      <c r="E276" s="271"/>
      <c r="F276" s="271"/>
      <c r="G276" s="271"/>
      <c r="H276" s="271"/>
      <c r="I276" s="271"/>
      <c r="J276" s="271"/>
      <c r="K276" s="271"/>
      <c r="L276" s="271"/>
      <c r="M276" s="271"/>
      <c r="N276" s="271"/>
      <c r="O276" s="271"/>
      <c r="P276" s="271"/>
      <c r="Q276" s="271"/>
      <c r="R276" s="271"/>
      <c r="S276" s="271"/>
      <c r="T276" s="271"/>
      <c r="U276" s="271"/>
      <c r="V276" s="271"/>
      <c r="W276" s="271"/>
      <c r="X276" s="271"/>
      <c r="Y276" s="271"/>
      <c r="Z276" s="271"/>
    </row>
    <row r="277">
      <c r="A277" s="271"/>
      <c r="B277" s="271"/>
      <c r="C277" s="271"/>
      <c r="D277" s="271"/>
      <c r="E277" s="271"/>
      <c r="F277" s="271"/>
      <c r="G277" s="271"/>
      <c r="H277" s="271"/>
      <c r="I277" s="271"/>
      <c r="J277" s="271"/>
      <c r="K277" s="271"/>
      <c r="L277" s="271"/>
      <c r="M277" s="271"/>
      <c r="N277" s="271"/>
      <c r="O277" s="271"/>
      <c r="P277" s="271"/>
      <c r="Q277" s="271"/>
      <c r="R277" s="271"/>
      <c r="S277" s="271"/>
      <c r="T277" s="271"/>
      <c r="U277" s="271"/>
      <c r="V277" s="271"/>
      <c r="W277" s="271"/>
      <c r="X277" s="271"/>
      <c r="Y277" s="271"/>
      <c r="Z277" s="271"/>
    </row>
    <row r="278">
      <c r="A278" s="271"/>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row>
    <row r="279">
      <c r="A279" s="271"/>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row>
    <row r="280">
      <c r="A280" s="271"/>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row>
    <row r="281">
      <c r="A281" s="271"/>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row>
    <row r="282">
      <c r="A282" s="271"/>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row>
    <row r="283">
      <c r="A283" s="271"/>
      <c r="B283" s="271"/>
      <c r="C283" s="271"/>
      <c r="D283" s="271"/>
      <c r="E283" s="271"/>
      <c r="F283" s="271"/>
      <c r="G283" s="271"/>
      <c r="H283" s="271"/>
      <c r="I283" s="271"/>
      <c r="J283" s="271"/>
      <c r="K283" s="271"/>
      <c r="L283" s="271"/>
      <c r="M283" s="271"/>
      <c r="N283" s="271"/>
      <c r="O283" s="271"/>
      <c r="P283" s="271"/>
      <c r="Q283" s="271"/>
      <c r="R283" s="271"/>
      <c r="S283" s="271"/>
      <c r="T283" s="271"/>
      <c r="U283" s="271"/>
      <c r="V283" s="271"/>
      <c r="W283" s="271"/>
      <c r="X283" s="271"/>
      <c r="Y283" s="271"/>
      <c r="Z283" s="271"/>
    </row>
    <row r="284">
      <c r="A284" s="271"/>
      <c r="B284" s="271"/>
      <c r="C284" s="271"/>
      <c r="D284" s="271"/>
      <c r="E284" s="271"/>
      <c r="F284" s="271"/>
      <c r="G284" s="271"/>
      <c r="H284" s="271"/>
      <c r="I284" s="271"/>
      <c r="J284" s="271"/>
      <c r="K284" s="271"/>
      <c r="L284" s="271"/>
      <c r="M284" s="271"/>
      <c r="N284" s="271"/>
      <c r="O284" s="271"/>
      <c r="P284" s="271"/>
      <c r="Q284" s="271"/>
      <c r="R284" s="271"/>
      <c r="S284" s="271"/>
      <c r="T284" s="271"/>
      <c r="U284" s="271"/>
      <c r="V284" s="271"/>
      <c r="W284" s="271"/>
      <c r="X284" s="271"/>
      <c r="Y284" s="271"/>
      <c r="Z284" s="271"/>
    </row>
    <row r="285">
      <c r="A285" s="271"/>
      <c r="B285" s="271"/>
      <c r="C285" s="271"/>
      <c r="D285" s="271"/>
      <c r="E285" s="271"/>
      <c r="F285" s="271"/>
      <c r="G285" s="271"/>
      <c r="H285" s="271"/>
      <c r="I285" s="271"/>
      <c r="J285" s="271"/>
      <c r="K285" s="271"/>
      <c r="L285" s="271"/>
      <c r="M285" s="271"/>
      <c r="N285" s="271"/>
      <c r="O285" s="271"/>
      <c r="P285" s="271"/>
      <c r="Q285" s="271"/>
      <c r="R285" s="271"/>
      <c r="S285" s="271"/>
      <c r="T285" s="271"/>
      <c r="U285" s="271"/>
      <c r="V285" s="271"/>
      <c r="W285" s="271"/>
      <c r="X285" s="271"/>
      <c r="Y285" s="271"/>
      <c r="Z285" s="271"/>
    </row>
    <row r="286">
      <c r="A286" s="271"/>
      <c r="B286" s="271"/>
      <c r="C286" s="271"/>
      <c r="D286" s="271"/>
      <c r="E286" s="271"/>
      <c r="F286" s="271"/>
      <c r="G286" s="271"/>
      <c r="H286" s="271"/>
      <c r="I286" s="271"/>
      <c r="J286" s="271"/>
      <c r="K286" s="271"/>
      <c r="L286" s="271"/>
      <c r="M286" s="271"/>
      <c r="N286" s="271"/>
      <c r="O286" s="271"/>
      <c r="P286" s="271"/>
      <c r="Q286" s="271"/>
      <c r="R286" s="271"/>
      <c r="S286" s="271"/>
      <c r="T286" s="271"/>
      <c r="U286" s="271"/>
      <c r="V286" s="271"/>
      <c r="W286" s="271"/>
      <c r="X286" s="271"/>
      <c r="Y286" s="271"/>
      <c r="Z286" s="271"/>
    </row>
    <row r="287">
      <c r="A287" s="271"/>
      <c r="B287" s="271"/>
      <c r="C287" s="271"/>
      <c r="D287" s="271"/>
      <c r="E287" s="271"/>
      <c r="F287" s="271"/>
      <c r="G287" s="271"/>
      <c r="H287" s="271"/>
      <c r="I287" s="271"/>
      <c r="J287" s="271"/>
      <c r="K287" s="271"/>
      <c r="L287" s="271"/>
      <c r="M287" s="271"/>
      <c r="N287" s="271"/>
      <c r="O287" s="271"/>
      <c r="P287" s="271"/>
      <c r="Q287" s="271"/>
      <c r="R287" s="271"/>
      <c r="S287" s="271"/>
      <c r="T287" s="271"/>
      <c r="U287" s="271"/>
      <c r="V287" s="271"/>
      <c r="W287" s="271"/>
      <c r="X287" s="271"/>
      <c r="Y287" s="271"/>
      <c r="Z287" s="271"/>
    </row>
    <row r="288">
      <c r="A288" s="271"/>
      <c r="B288" s="271"/>
      <c r="C288" s="271"/>
      <c r="D288" s="271"/>
      <c r="E288" s="271"/>
      <c r="F288" s="271"/>
      <c r="G288" s="271"/>
      <c r="H288" s="271"/>
      <c r="I288" s="271"/>
      <c r="J288" s="271"/>
      <c r="K288" s="271"/>
      <c r="L288" s="271"/>
      <c r="M288" s="271"/>
      <c r="N288" s="271"/>
      <c r="O288" s="271"/>
      <c r="P288" s="271"/>
      <c r="Q288" s="271"/>
      <c r="R288" s="271"/>
      <c r="S288" s="271"/>
      <c r="T288" s="271"/>
      <c r="U288" s="271"/>
      <c r="V288" s="271"/>
      <c r="W288" s="271"/>
      <c r="X288" s="271"/>
      <c r="Y288" s="271"/>
      <c r="Z288" s="271"/>
    </row>
    <row r="289">
      <c r="A289" s="271"/>
      <c r="B289" s="271"/>
      <c r="C289" s="271"/>
      <c r="D289" s="271"/>
      <c r="E289" s="271"/>
      <c r="F289" s="271"/>
      <c r="G289" s="271"/>
      <c r="H289" s="271"/>
      <c r="I289" s="271"/>
      <c r="J289" s="271"/>
      <c r="K289" s="271"/>
      <c r="L289" s="271"/>
      <c r="M289" s="271"/>
      <c r="N289" s="271"/>
      <c r="O289" s="271"/>
      <c r="P289" s="271"/>
      <c r="Q289" s="271"/>
      <c r="R289" s="271"/>
      <c r="S289" s="271"/>
      <c r="T289" s="271"/>
      <c r="U289" s="271"/>
      <c r="V289" s="271"/>
      <c r="W289" s="271"/>
      <c r="X289" s="271"/>
      <c r="Y289" s="271"/>
      <c r="Z289" s="271"/>
    </row>
    <row r="290">
      <c r="A290" s="271"/>
      <c r="B290" s="271"/>
      <c r="C290" s="271"/>
      <c r="D290" s="271"/>
      <c r="E290" s="271"/>
      <c r="F290" s="271"/>
      <c r="G290" s="271"/>
      <c r="H290" s="271"/>
      <c r="I290" s="271"/>
      <c r="J290" s="271"/>
      <c r="K290" s="271"/>
      <c r="L290" s="271"/>
      <c r="M290" s="271"/>
      <c r="N290" s="271"/>
      <c r="O290" s="271"/>
      <c r="P290" s="271"/>
      <c r="Q290" s="271"/>
      <c r="R290" s="271"/>
      <c r="S290" s="271"/>
      <c r="T290" s="271"/>
      <c r="U290" s="271"/>
      <c r="V290" s="271"/>
      <c r="W290" s="271"/>
      <c r="X290" s="271"/>
      <c r="Y290" s="271"/>
      <c r="Z290" s="271"/>
    </row>
    <row r="291">
      <c r="A291" s="271"/>
      <c r="B291" s="271"/>
      <c r="C291" s="271"/>
      <c r="D291" s="271"/>
      <c r="E291" s="271"/>
      <c r="F291" s="271"/>
      <c r="G291" s="271"/>
      <c r="H291" s="271"/>
      <c r="I291" s="271"/>
      <c r="J291" s="271"/>
      <c r="K291" s="271"/>
      <c r="L291" s="271"/>
      <c r="M291" s="271"/>
      <c r="N291" s="271"/>
      <c r="O291" s="271"/>
      <c r="P291" s="271"/>
      <c r="Q291" s="271"/>
      <c r="R291" s="271"/>
      <c r="S291" s="271"/>
      <c r="T291" s="271"/>
      <c r="U291" s="271"/>
      <c r="V291" s="271"/>
      <c r="W291" s="271"/>
      <c r="X291" s="271"/>
      <c r="Y291" s="271"/>
      <c r="Z291" s="271"/>
    </row>
    <row r="292">
      <c r="A292" s="271"/>
      <c r="B292" s="271"/>
      <c r="C292" s="271"/>
      <c r="D292" s="271"/>
      <c r="E292" s="271"/>
      <c r="F292" s="271"/>
      <c r="G292" s="271"/>
      <c r="H292" s="271"/>
      <c r="I292" s="271"/>
      <c r="J292" s="271"/>
      <c r="K292" s="271"/>
      <c r="L292" s="271"/>
      <c r="M292" s="271"/>
      <c r="N292" s="271"/>
      <c r="O292" s="271"/>
      <c r="P292" s="271"/>
      <c r="Q292" s="271"/>
      <c r="R292" s="271"/>
      <c r="S292" s="271"/>
      <c r="T292" s="271"/>
      <c r="U292" s="271"/>
      <c r="V292" s="271"/>
      <c r="W292" s="271"/>
      <c r="X292" s="271"/>
      <c r="Y292" s="271"/>
      <c r="Z292" s="271"/>
    </row>
    <row r="293">
      <c r="A293" s="271"/>
      <c r="B293" s="271"/>
      <c r="C293" s="271"/>
      <c r="D293" s="271"/>
      <c r="E293" s="271"/>
      <c r="F293" s="271"/>
      <c r="G293" s="271"/>
      <c r="H293" s="271"/>
      <c r="I293" s="271"/>
      <c r="J293" s="271"/>
      <c r="K293" s="271"/>
      <c r="L293" s="271"/>
      <c r="M293" s="271"/>
      <c r="N293" s="271"/>
      <c r="O293" s="271"/>
      <c r="P293" s="271"/>
      <c r="Q293" s="271"/>
      <c r="R293" s="271"/>
      <c r="S293" s="271"/>
      <c r="T293" s="271"/>
      <c r="U293" s="271"/>
      <c r="V293" s="271"/>
      <c r="W293" s="271"/>
      <c r="X293" s="271"/>
      <c r="Y293" s="271"/>
      <c r="Z293" s="271"/>
    </row>
    <row r="294">
      <c r="A294" s="271"/>
      <c r="B294" s="271"/>
      <c r="C294" s="271"/>
      <c r="D294" s="271"/>
      <c r="E294" s="271"/>
      <c r="F294" s="271"/>
      <c r="G294" s="271"/>
      <c r="H294" s="271"/>
      <c r="I294" s="271"/>
      <c r="J294" s="271"/>
      <c r="K294" s="271"/>
      <c r="L294" s="271"/>
      <c r="M294" s="271"/>
      <c r="N294" s="271"/>
      <c r="O294" s="271"/>
      <c r="P294" s="271"/>
      <c r="Q294" s="271"/>
      <c r="R294" s="271"/>
      <c r="S294" s="271"/>
      <c r="T294" s="271"/>
      <c r="U294" s="271"/>
      <c r="V294" s="271"/>
      <c r="W294" s="271"/>
      <c r="X294" s="271"/>
      <c r="Y294" s="271"/>
      <c r="Z294" s="271"/>
    </row>
    <row r="295">
      <c r="A295" s="271"/>
      <c r="B295" s="271"/>
      <c r="C295" s="271"/>
      <c r="D295" s="271"/>
      <c r="E295" s="271"/>
      <c r="F295" s="271"/>
      <c r="G295" s="271"/>
      <c r="H295" s="271"/>
      <c r="I295" s="271"/>
      <c r="J295" s="271"/>
      <c r="K295" s="271"/>
      <c r="L295" s="271"/>
      <c r="M295" s="271"/>
      <c r="N295" s="271"/>
      <c r="O295" s="271"/>
      <c r="P295" s="271"/>
      <c r="Q295" s="271"/>
      <c r="R295" s="271"/>
      <c r="S295" s="271"/>
      <c r="T295" s="271"/>
      <c r="U295" s="271"/>
      <c r="V295" s="271"/>
      <c r="W295" s="271"/>
      <c r="X295" s="271"/>
      <c r="Y295" s="271"/>
      <c r="Z295" s="271"/>
    </row>
    <row r="296">
      <c r="A296" s="271"/>
      <c r="B296" s="271"/>
      <c r="C296" s="271"/>
      <c r="D296" s="271"/>
      <c r="E296" s="271"/>
      <c r="F296" s="271"/>
      <c r="G296" s="271"/>
      <c r="H296" s="271"/>
      <c r="I296" s="271"/>
      <c r="J296" s="271"/>
      <c r="K296" s="271"/>
      <c r="L296" s="271"/>
      <c r="M296" s="271"/>
      <c r="N296" s="271"/>
      <c r="O296" s="271"/>
      <c r="P296" s="271"/>
      <c r="Q296" s="271"/>
      <c r="R296" s="271"/>
      <c r="S296" s="271"/>
      <c r="T296" s="271"/>
      <c r="U296" s="271"/>
      <c r="V296" s="271"/>
      <c r="W296" s="271"/>
      <c r="X296" s="271"/>
      <c r="Y296" s="271"/>
      <c r="Z296" s="271"/>
    </row>
    <row r="297">
      <c r="A297" s="271"/>
      <c r="B297" s="271"/>
      <c r="C297" s="271"/>
      <c r="D297" s="271"/>
      <c r="E297" s="271"/>
      <c r="F297" s="271"/>
      <c r="G297" s="271"/>
      <c r="H297" s="271"/>
      <c r="I297" s="271"/>
      <c r="J297" s="271"/>
      <c r="K297" s="271"/>
      <c r="L297" s="271"/>
      <c r="M297" s="271"/>
      <c r="N297" s="271"/>
      <c r="O297" s="271"/>
      <c r="P297" s="271"/>
      <c r="Q297" s="271"/>
      <c r="R297" s="271"/>
      <c r="S297" s="271"/>
      <c r="T297" s="271"/>
      <c r="U297" s="271"/>
      <c r="V297" s="271"/>
      <c r="W297" s="271"/>
      <c r="X297" s="271"/>
      <c r="Y297" s="271"/>
      <c r="Z297" s="271"/>
    </row>
    <row r="298">
      <c r="A298" s="271"/>
      <c r="B298" s="271"/>
      <c r="C298" s="271"/>
      <c r="D298" s="271"/>
      <c r="E298" s="271"/>
      <c r="F298" s="271"/>
      <c r="G298" s="271"/>
      <c r="H298" s="271"/>
      <c r="I298" s="271"/>
      <c r="J298" s="271"/>
      <c r="K298" s="271"/>
      <c r="L298" s="271"/>
      <c r="M298" s="271"/>
      <c r="N298" s="271"/>
      <c r="O298" s="271"/>
      <c r="P298" s="271"/>
      <c r="Q298" s="271"/>
      <c r="R298" s="271"/>
      <c r="S298" s="271"/>
      <c r="T298" s="271"/>
      <c r="U298" s="271"/>
      <c r="V298" s="271"/>
      <c r="W298" s="271"/>
      <c r="X298" s="271"/>
      <c r="Y298" s="271"/>
      <c r="Z298" s="271"/>
    </row>
    <row r="299">
      <c r="A299" s="271"/>
      <c r="B299" s="271"/>
      <c r="C299" s="271"/>
      <c r="D299" s="271"/>
      <c r="E299" s="271"/>
      <c r="F299" s="271"/>
      <c r="G299" s="271"/>
      <c r="H299" s="271"/>
      <c r="I299" s="271"/>
      <c r="J299" s="271"/>
      <c r="K299" s="271"/>
      <c r="L299" s="271"/>
      <c r="M299" s="271"/>
      <c r="N299" s="271"/>
      <c r="O299" s="271"/>
      <c r="P299" s="271"/>
      <c r="Q299" s="271"/>
      <c r="R299" s="271"/>
      <c r="S299" s="271"/>
      <c r="T299" s="271"/>
      <c r="U299" s="271"/>
      <c r="V299" s="271"/>
      <c r="W299" s="271"/>
      <c r="X299" s="271"/>
      <c r="Y299" s="271"/>
      <c r="Z299" s="271"/>
    </row>
    <row r="300">
      <c r="A300" s="271"/>
      <c r="B300" s="271"/>
      <c r="C300" s="271"/>
      <c r="D300" s="271"/>
      <c r="E300" s="271"/>
      <c r="F300" s="271"/>
      <c r="G300" s="271"/>
      <c r="H300" s="271"/>
      <c r="I300" s="271"/>
      <c r="J300" s="271"/>
      <c r="K300" s="271"/>
      <c r="L300" s="271"/>
      <c r="M300" s="271"/>
      <c r="N300" s="271"/>
      <c r="O300" s="271"/>
      <c r="P300" s="271"/>
      <c r="Q300" s="271"/>
      <c r="R300" s="271"/>
      <c r="S300" s="271"/>
      <c r="T300" s="271"/>
      <c r="U300" s="271"/>
      <c r="V300" s="271"/>
      <c r="W300" s="271"/>
      <c r="X300" s="271"/>
      <c r="Y300" s="271"/>
      <c r="Z300" s="271"/>
    </row>
    <row r="301">
      <c r="A301" s="271"/>
      <c r="B301" s="271"/>
      <c r="C301" s="271"/>
      <c r="D301" s="271"/>
      <c r="E301" s="271"/>
      <c r="F301" s="271"/>
      <c r="G301" s="271"/>
      <c r="H301" s="271"/>
      <c r="I301" s="271"/>
      <c r="J301" s="271"/>
      <c r="K301" s="271"/>
      <c r="L301" s="271"/>
      <c r="M301" s="271"/>
      <c r="N301" s="271"/>
      <c r="O301" s="271"/>
      <c r="P301" s="271"/>
      <c r="Q301" s="271"/>
      <c r="R301" s="271"/>
      <c r="S301" s="271"/>
      <c r="T301" s="271"/>
      <c r="U301" s="271"/>
      <c r="V301" s="271"/>
      <c r="W301" s="271"/>
      <c r="X301" s="271"/>
      <c r="Y301" s="271"/>
      <c r="Z301" s="271"/>
    </row>
    <row r="302">
      <c r="A302" s="271"/>
      <c r="B302" s="271"/>
      <c r="C302" s="271"/>
      <c r="D302" s="271"/>
      <c r="E302" s="271"/>
      <c r="F302" s="271"/>
      <c r="G302" s="271"/>
      <c r="H302" s="271"/>
      <c r="I302" s="271"/>
      <c r="J302" s="271"/>
      <c r="K302" s="271"/>
      <c r="L302" s="271"/>
      <c r="M302" s="271"/>
      <c r="N302" s="271"/>
      <c r="O302" s="271"/>
      <c r="P302" s="271"/>
      <c r="Q302" s="271"/>
      <c r="R302" s="271"/>
      <c r="S302" s="271"/>
      <c r="T302" s="271"/>
      <c r="U302" s="271"/>
      <c r="V302" s="271"/>
      <c r="W302" s="271"/>
      <c r="X302" s="271"/>
      <c r="Y302" s="271"/>
      <c r="Z302" s="271"/>
    </row>
    <row r="303">
      <c r="A303" s="271"/>
      <c r="B303" s="271"/>
      <c r="C303" s="271"/>
      <c r="D303" s="271"/>
      <c r="E303" s="271"/>
      <c r="F303" s="271"/>
      <c r="G303" s="271"/>
      <c r="H303" s="271"/>
      <c r="I303" s="271"/>
      <c r="J303" s="271"/>
      <c r="K303" s="271"/>
      <c r="L303" s="271"/>
      <c r="M303" s="271"/>
      <c r="N303" s="271"/>
      <c r="O303" s="271"/>
      <c r="P303" s="271"/>
      <c r="Q303" s="271"/>
      <c r="R303" s="271"/>
      <c r="S303" s="271"/>
      <c r="T303" s="271"/>
      <c r="U303" s="271"/>
      <c r="V303" s="271"/>
      <c r="W303" s="271"/>
      <c r="X303" s="271"/>
      <c r="Y303" s="271"/>
      <c r="Z303" s="271"/>
    </row>
    <row r="304">
      <c r="A304" s="271"/>
      <c r="B304" s="271"/>
      <c r="C304" s="271"/>
      <c r="D304" s="271"/>
      <c r="E304" s="271"/>
      <c r="F304" s="271"/>
      <c r="G304" s="271"/>
      <c r="H304" s="271"/>
      <c r="I304" s="271"/>
      <c r="J304" s="271"/>
      <c r="K304" s="271"/>
      <c r="L304" s="271"/>
      <c r="M304" s="271"/>
      <c r="N304" s="271"/>
      <c r="O304" s="271"/>
      <c r="P304" s="271"/>
      <c r="Q304" s="271"/>
      <c r="R304" s="271"/>
      <c r="S304" s="271"/>
      <c r="T304" s="271"/>
      <c r="U304" s="271"/>
      <c r="V304" s="271"/>
      <c r="W304" s="271"/>
      <c r="X304" s="271"/>
      <c r="Y304" s="271"/>
      <c r="Z304" s="271"/>
    </row>
    <row r="305">
      <c r="A305" s="271"/>
      <c r="B305" s="271"/>
      <c r="C305" s="271"/>
      <c r="D305" s="271"/>
      <c r="E305" s="271"/>
      <c r="F305" s="271"/>
      <c r="G305" s="271"/>
      <c r="H305" s="271"/>
      <c r="I305" s="271"/>
      <c r="J305" s="271"/>
      <c r="K305" s="271"/>
      <c r="L305" s="271"/>
      <c r="M305" s="271"/>
      <c r="N305" s="271"/>
      <c r="O305" s="271"/>
      <c r="P305" s="271"/>
      <c r="Q305" s="271"/>
      <c r="R305" s="271"/>
      <c r="S305" s="271"/>
      <c r="T305" s="271"/>
      <c r="U305" s="271"/>
      <c r="V305" s="271"/>
      <c r="W305" s="271"/>
      <c r="X305" s="271"/>
      <c r="Y305" s="271"/>
      <c r="Z305" s="271"/>
    </row>
    <row r="306">
      <c r="A306" s="271"/>
      <c r="B306" s="271"/>
      <c r="C306" s="271"/>
      <c r="D306" s="271"/>
      <c r="E306" s="271"/>
      <c r="F306" s="271"/>
      <c r="G306" s="271"/>
      <c r="H306" s="271"/>
      <c r="I306" s="271"/>
      <c r="J306" s="271"/>
      <c r="K306" s="271"/>
      <c r="L306" s="271"/>
      <c r="M306" s="271"/>
      <c r="N306" s="271"/>
      <c r="O306" s="271"/>
      <c r="P306" s="271"/>
      <c r="Q306" s="271"/>
      <c r="R306" s="271"/>
      <c r="S306" s="271"/>
      <c r="T306" s="271"/>
      <c r="U306" s="271"/>
      <c r="V306" s="271"/>
      <c r="W306" s="271"/>
      <c r="X306" s="271"/>
      <c r="Y306" s="271"/>
      <c r="Z306" s="271"/>
    </row>
    <row r="307">
      <c r="A307" s="271"/>
      <c r="B307" s="271"/>
      <c r="C307" s="271"/>
      <c r="D307" s="271"/>
      <c r="E307" s="271"/>
      <c r="F307" s="271"/>
      <c r="G307" s="271"/>
      <c r="H307" s="271"/>
      <c r="I307" s="271"/>
      <c r="J307" s="271"/>
      <c r="K307" s="271"/>
      <c r="L307" s="271"/>
      <c r="M307" s="271"/>
      <c r="N307" s="271"/>
      <c r="O307" s="271"/>
      <c r="P307" s="271"/>
      <c r="Q307" s="271"/>
      <c r="R307" s="271"/>
      <c r="S307" s="271"/>
      <c r="T307" s="271"/>
      <c r="U307" s="271"/>
      <c r="V307" s="271"/>
      <c r="W307" s="271"/>
      <c r="X307" s="271"/>
      <c r="Y307" s="271"/>
      <c r="Z307" s="271"/>
    </row>
    <row r="308">
      <c r="A308" s="271"/>
      <c r="B308" s="271"/>
      <c r="C308" s="271"/>
      <c r="D308" s="271"/>
      <c r="E308" s="271"/>
      <c r="F308" s="271"/>
      <c r="G308" s="271"/>
      <c r="H308" s="271"/>
      <c r="I308" s="271"/>
      <c r="J308" s="271"/>
      <c r="K308" s="271"/>
      <c r="L308" s="271"/>
      <c r="M308" s="271"/>
      <c r="N308" s="271"/>
      <c r="O308" s="271"/>
      <c r="P308" s="271"/>
      <c r="Q308" s="271"/>
      <c r="R308" s="271"/>
      <c r="S308" s="271"/>
      <c r="T308" s="271"/>
      <c r="U308" s="271"/>
      <c r="V308" s="271"/>
      <c r="W308" s="271"/>
      <c r="X308" s="271"/>
      <c r="Y308" s="271"/>
      <c r="Z308" s="271"/>
    </row>
    <row r="309">
      <c r="A309" s="271"/>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row>
    <row r="310">
      <c r="A310" s="271"/>
      <c r="B310" s="271"/>
      <c r="C310" s="271"/>
      <c r="D310" s="271"/>
      <c r="E310" s="271"/>
      <c r="F310" s="271"/>
      <c r="G310" s="271"/>
      <c r="H310" s="271"/>
      <c r="I310" s="271"/>
      <c r="J310" s="271"/>
      <c r="K310" s="271"/>
      <c r="L310" s="271"/>
      <c r="M310" s="271"/>
      <c r="N310" s="271"/>
      <c r="O310" s="271"/>
      <c r="P310" s="271"/>
      <c r="Q310" s="271"/>
      <c r="R310" s="271"/>
      <c r="S310" s="271"/>
      <c r="T310" s="271"/>
      <c r="U310" s="271"/>
      <c r="V310" s="271"/>
      <c r="W310" s="271"/>
      <c r="X310" s="271"/>
      <c r="Y310" s="271"/>
      <c r="Z310" s="271"/>
    </row>
    <row r="311">
      <c r="A311" s="271"/>
      <c r="B311" s="271"/>
      <c r="C311" s="271"/>
      <c r="D311" s="271"/>
      <c r="E311" s="271"/>
      <c r="F311" s="271"/>
      <c r="G311" s="271"/>
      <c r="H311" s="271"/>
      <c r="I311" s="271"/>
      <c r="J311" s="271"/>
      <c r="K311" s="271"/>
      <c r="L311" s="271"/>
      <c r="M311" s="271"/>
      <c r="N311" s="271"/>
      <c r="O311" s="271"/>
      <c r="P311" s="271"/>
      <c r="Q311" s="271"/>
      <c r="R311" s="271"/>
      <c r="S311" s="271"/>
      <c r="T311" s="271"/>
      <c r="U311" s="271"/>
      <c r="V311" s="271"/>
      <c r="W311" s="271"/>
      <c r="X311" s="271"/>
      <c r="Y311" s="271"/>
      <c r="Z311" s="271"/>
    </row>
    <row r="312">
      <c r="A312" s="271"/>
      <c r="B312" s="271"/>
      <c r="C312" s="271"/>
      <c r="D312" s="271"/>
      <c r="E312" s="271"/>
      <c r="F312" s="271"/>
      <c r="G312" s="271"/>
      <c r="H312" s="271"/>
      <c r="I312" s="271"/>
      <c r="J312" s="271"/>
      <c r="K312" s="271"/>
      <c r="L312" s="271"/>
      <c r="M312" s="271"/>
      <c r="N312" s="271"/>
      <c r="O312" s="271"/>
      <c r="P312" s="271"/>
      <c r="Q312" s="271"/>
      <c r="R312" s="271"/>
      <c r="S312" s="271"/>
      <c r="T312" s="271"/>
      <c r="U312" s="271"/>
      <c r="V312" s="271"/>
      <c r="W312" s="271"/>
      <c r="X312" s="271"/>
      <c r="Y312" s="271"/>
      <c r="Z312" s="271"/>
    </row>
    <row r="313">
      <c r="A313" s="271"/>
      <c r="B313" s="271"/>
      <c r="C313" s="271"/>
      <c r="D313" s="271"/>
      <c r="E313" s="271"/>
      <c r="F313" s="271"/>
      <c r="G313" s="271"/>
      <c r="H313" s="271"/>
      <c r="I313" s="271"/>
      <c r="J313" s="271"/>
      <c r="K313" s="271"/>
      <c r="L313" s="271"/>
      <c r="M313" s="271"/>
      <c r="N313" s="271"/>
      <c r="O313" s="271"/>
      <c r="P313" s="271"/>
      <c r="Q313" s="271"/>
      <c r="R313" s="271"/>
      <c r="S313" s="271"/>
      <c r="T313" s="271"/>
      <c r="U313" s="271"/>
      <c r="V313" s="271"/>
      <c r="W313" s="271"/>
      <c r="X313" s="271"/>
      <c r="Y313" s="271"/>
      <c r="Z313" s="271"/>
    </row>
    <row r="314">
      <c r="A314" s="271"/>
      <c r="B314" s="271"/>
      <c r="C314" s="271"/>
      <c r="D314" s="271"/>
      <c r="E314" s="271"/>
      <c r="F314" s="271"/>
      <c r="G314" s="271"/>
      <c r="H314" s="271"/>
      <c r="I314" s="271"/>
      <c r="J314" s="271"/>
      <c r="K314" s="271"/>
      <c r="L314" s="271"/>
      <c r="M314" s="271"/>
      <c r="N314" s="271"/>
      <c r="O314" s="271"/>
      <c r="P314" s="271"/>
      <c r="Q314" s="271"/>
      <c r="R314" s="271"/>
      <c r="S314" s="271"/>
      <c r="T314" s="271"/>
      <c r="U314" s="271"/>
      <c r="V314" s="271"/>
      <c r="W314" s="271"/>
      <c r="X314" s="271"/>
      <c r="Y314" s="271"/>
      <c r="Z314" s="271"/>
    </row>
    <row r="315">
      <c r="A315" s="271"/>
      <c r="B315" s="271"/>
      <c r="C315" s="271"/>
      <c r="D315" s="271"/>
      <c r="E315" s="271"/>
      <c r="F315" s="271"/>
      <c r="G315" s="271"/>
      <c r="H315" s="271"/>
      <c r="I315" s="271"/>
      <c r="J315" s="271"/>
      <c r="K315" s="271"/>
      <c r="L315" s="271"/>
      <c r="M315" s="271"/>
      <c r="N315" s="271"/>
      <c r="O315" s="271"/>
      <c r="P315" s="271"/>
      <c r="Q315" s="271"/>
      <c r="R315" s="271"/>
      <c r="S315" s="271"/>
      <c r="T315" s="271"/>
      <c r="U315" s="271"/>
      <c r="V315" s="271"/>
      <c r="W315" s="271"/>
      <c r="X315" s="271"/>
      <c r="Y315" s="271"/>
      <c r="Z315" s="271"/>
    </row>
    <row r="316">
      <c r="A316" s="271"/>
      <c r="B316" s="271"/>
      <c r="C316" s="271"/>
      <c r="D316" s="271"/>
      <c r="E316" s="271"/>
      <c r="F316" s="271"/>
      <c r="G316" s="271"/>
      <c r="H316" s="271"/>
      <c r="I316" s="271"/>
      <c r="J316" s="271"/>
      <c r="K316" s="271"/>
      <c r="L316" s="271"/>
      <c r="M316" s="271"/>
      <c r="N316" s="271"/>
      <c r="O316" s="271"/>
      <c r="P316" s="271"/>
      <c r="Q316" s="271"/>
      <c r="R316" s="271"/>
      <c r="S316" s="271"/>
      <c r="T316" s="271"/>
      <c r="U316" s="271"/>
      <c r="V316" s="271"/>
      <c r="W316" s="271"/>
      <c r="X316" s="271"/>
      <c r="Y316" s="271"/>
      <c r="Z316" s="271"/>
    </row>
    <row r="317">
      <c r="A317" s="271"/>
      <c r="B317" s="271"/>
      <c r="C317" s="271"/>
      <c r="D317" s="271"/>
      <c r="E317" s="271"/>
      <c r="F317" s="271"/>
      <c r="G317" s="271"/>
      <c r="H317" s="271"/>
      <c r="I317" s="271"/>
      <c r="J317" s="271"/>
      <c r="K317" s="271"/>
      <c r="L317" s="271"/>
      <c r="M317" s="271"/>
      <c r="N317" s="271"/>
      <c r="O317" s="271"/>
      <c r="P317" s="271"/>
      <c r="Q317" s="271"/>
      <c r="R317" s="271"/>
      <c r="S317" s="271"/>
      <c r="T317" s="271"/>
      <c r="U317" s="271"/>
      <c r="V317" s="271"/>
      <c r="W317" s="271"/>
      <c r="X317" s="271"/>
      <c r="Y317" s="271"/>
      <c r="Z317" s="271"/>
    </row>
    <row r="318">
      <c r="A318" s="271"/>
      <c r="B318" s="271"/>
      <c r="C318" s="271"/>
      <c r="D318" s="271"/>
      <c r="E318" s="271"/>
      <c r="F318" s="271"/>
      <c r="G318" s="271"/>
      <c r="H318" s="271"/>
      <c r="I318" s="271"/>
      <c r="J318" s="271"/>
      <c r="K318" s="271"/>
      <c r="L318" s="271"/>
      <c r="M318" s="271"/>
      <c r="N318" s="271"/>
      <c r="O318" s="271"/>
      <c r="P318" s="271"/>
      <c r="Q318" s="271"/>
      <c r="R318" s="271"/>
      <c r="S318" s="271"/>
      <c r="T318" s="271"/>
      <c r="U318" s="271"/>
      <c r="V318" s="271"/>
      <c r="W318" s="271"/>
      <c r="X318" s="271"/>
      <c r="Y318" s="271"/>
      <c r="Z318" s="271"/>
    </row>
    <row r="319">
      <c r="A319" s="271"/>
      <c r="B319" s="271"/>
      <c r="C319" s="271"/>
      <c r="D319" s="271"/>
      <c r="E319" s="271"/>
      <c r="F319" s="271"/>
      <c r="G319" s="271"/>
      <c r="H319" s="271"/>
      <c r="I319" s="271"/>
      <c r="J319" s="271"/>
      <c r="K319" s="271"/>
      <c r="L319" s="271"/>
      <c r="M319" s="271"/>
      <c r="N319" s="271"/>
      <c r="O319" s="271"/>
      <c r="P319" s="271"/>
      <c r="Q319" s="271"/>
      <c r="R319" s="271"/>
      <c r="S319" s="271"/>
      <c r="T319" s="271"/>
      <c r="U319" s="271"/>
      <c r="V319" s="271"/>
      <c r="W319" s="271"/>
      <c r="X319" s="271"/>
      <c r="Y319" s="271"/>
      <c r="Z319" s="271"/>
    </row>
    <row r="320">
      <c r="A320" s="271"/>
      <c r="B320" s="271"/>
      <c r="C320" s="271"/>
      <c r="D320" s="271"/>
      <c r="E320" s="271"/>
      <c r="F320" s="271"/>
      <c r="G320" s="271"/>
      <c r="H320" s="271"/>
      <c r="I320" s="271"/>
      <c r="J320" s="271"/>
      <c r="K320" s="271"/>
      <c r="L320" s="271"/>
      <c r="M320" s="271"/>
      <c r="N320" s="271"/>
      <c r="O320" s="271"/>
      <c r="P320" s="271"/>
      <c r="Q320" s="271"/>
      <c r="R320" s="271"/>
      <c r="S320" s="271"/>
      <c r="T320" s="271"/>
      <c r="U320" s="271"/>
      <c r="V320" s="271"/>
      <c r="W320" s="271"/>
      <c r="X320" s="271"/>
      <c r="Y320" s="271"/>
      <c r="Z320" s="271"/>
    </row>
    <row r="321">
      <c r="A321" s="271"/>
      <c r="B321" s="271"/>
      <c r="C321" s="271"/>
      <c r="D321" s="271"/>
      <c r="E321" s="271"/>
      <c r="F321" s="271"/>
      <c r="G321" s="271"/>
      <c r="H321" s="271"/>
      <c r="I321" s="271"/>
      <c r="J321" s="271"/>
      <c r="K321" s="271"/>
      <c r="L321" s="271"/>
      <c r="M321" s="271"/>
      <c r="N321" s="271"/>
      <c r="O321" s="271"/>
      <c r="P321" s="271"/>
      <c r="Q321" s="271"/>
      <c r="R321" s="271"/>
      <c r="S321" s="271"/>
      <c r="T321" s="271"/>
      <c r="U321" s="271"/>
      <c r="V321" s="271"/>
      <c r="W321" s="271"/>
      <c r="X321" s="271"/>
      <c r="Y321" s="271"/>
      <c r="Z321" s="271"/>
    </row>
    <row r="322">
      <c r="A322" s="271"/>
      <c r="B322" s="271"/>
      <c r="C322" s="271"/>
      <c r="D322" s="271"/>
      <c r="E322" s="271"/>
      <c r="F322" s="271"/>
      <c r="G322" s="271"/>
      <c r="H322" s="271"/>
      <c r="I322" s="271"/>
      <c r="J322" s="271"/>
      <c r="K322" s="271"/>
      <c r="L322" s="271"/>
      <c r="M322" s="271"/>
      <c r="N322" s="271"/>
      <c r="O322" s="271"/>
      <c r="P322" s="271"/>
      <c r="Q322" s="271"/>
      <c r="R322" s="271"/>
      <c r="S322" s="271"/>
      <c r="T322" s="271"/>
      <c r="U322" s="271"/>
      <c r="V322" s="271"/>
      <c r="W322" s="271"/>
      <c r="X322" s="271"/>
      <c r="Y322" s="271"/>
      <c r="Z322" s="271"/>
    </row>
    <row r="323">
      <c r="A323" s="271"/>
      <c r="B323" s="271"/>
      <c r="C323" s="271"/>
      <c r="D323" s="271"/>
      <c r="E323" s="271"/>
      <c r="F323" s="271"/>
      <c r="G323" s="271"/>
      <c r="H323" s="271"/>
      <c r="I323" s="271"/>
      <c r="J323" s="271"/>
      <c r="K323" s="271"/>
      <c r="L323" s="271"/>
      <c r="M323" s="271"/>
      <c r="N323" s="271"/>
      <c r="O323" s="271"/>
      <c r="P323" s="271"/>
      <c r="Q323" s="271"/>
      <c r="R323" s="271"/>
      <c r="S323" s="271"/>
      <c r="T323" s="271"/>
      <c r="U323" s="271"/>
      <c r="V323" s="271"/>
      <c r="W323" s="271"/>
      <c r="X323" s="271"/>
      <c r="Y323" s="271"/>
      <c r="Z323" s="271"/>
    </row>
    <row r="324">
      <c r="A324" s="271"/>
      <c r="B324" s="271"/>
      <c r="C324" s="271"/>
      <c r="D324" s="271"/>
      <c r="E324" s="271"/>
      <c r="F324" s="271"/>
      <c r="G324" s="271"/>
      <c r="H324" s="271"/>
      <c r="I324" s="271"/>
      <c r="J324" s="271"/>
      <c r="K324" s="271"/>
      <c r="L324" s="271"/>
      <c r="M324" s="271"/>
      <c r="N324" s="271"/>
      <c r="O324" s="271"/>
      <c r="P324" s="271"/>
      <c r="Q324" s="271"/>
      <c r="R324" s="271"/>
      <c r="S324" s="271"/>
      <c r="T324" s="271"/>
      <c r="U324" s="271"/>
      <c r="V324" s="271"/>
      <c r="W324" s="271"/>
      <c r="X324" s="271"/>
      <c r="Y324" s="271"/>
      <c r="Z324" s="271"/>
    </row>
    <row r="325">
      <c r="A325" s="271"/>
      <c r="B325" s="271"/>
      <c r="C325" s="271"/>
      <c r="D325" s="271"/>
      <c r="E325" s="271"/>
      <c r="F325" s="271"/>
      <c r="G325" s="271"/>
      <c r="H325" s="271"/>
      <c r="I325" s="271"/>
      <c r="J325" s="271"/>
      <c r="K325" s="271"/>
      <c r="L325" s="271"/>
      <c r="M325" s="271"/>
      <c r="N325" s="271"/>
      <c r="O325" s="271"/>
      <c r="P325" s="271"/>
      <c r="Q325" s="271"/>
      <c r="R325" s="271"/>
      <c r="S325" s="271"/>
      <c r="T325" s="271"/>
      <c r="U325" s="271"/>
      <c r="V325" s="271"/>
      <c r="W325" s="271"/>
      <c r="X325" s="271"/>
      <c r="Y325" s="271"/>
      <c r="Z325" s="271"/>
    </row>
    <row r="326">
      <c r="A326" s="271"/>
      <c r="B326" s="271"/>
      <c r="C326" s="271"/>
      <c r="D326" s="271"/>
      <c r="E326" s="271"/>
      <c r="F326" s="271"/>
      <c r="G326" s="271"/>
      <c r="H326" s="271"/>
      <c r="I326" s="271"/>
      <c r="J326" s="271"/>
      <c r="K326" s="271"/>
      <c r="L326" s="271"/>
      <c r="M326" s="271"/>
      <c r="N326" s="271"/>
      <c r="O326" s="271"/>
      <c r="P326" s="271"/>
      <c r="Q326" s="271"/>
      <c r="R326" s="271"/>
      <c r="S326" s="271"/>
      <c r="T326" s="271"/>
      <c r="U326" s="271"/>
      <c r="V326" s="271"/>
      <c r="W326" s="271"/>
      <c r="X326" s="271"/>
      <c r="Y326" s="271"/>
      <c r="Z326" s="271"/>
    </row>
    <row r="327">
      <c r="A327" s="271"/>
      <c r="B327" s="271"/>
      <c r="C327" s="271"/>
      <c r="D327" s="271"/>
      <c r="E327" s="271"/>
      <c r="F327" s="271"/>
      <c r="G327" s="271"/>
      <c r="H327" s="271"/>
      <c r="I327" s="271"/>
      <c r="J327" s="271"/>
      <c r="K327" s="271"/>
      <c r="L327" s="271"/>
      <c r="M327" s="271"/>
      <c r="N327" s="271"/>
      <c r="O327" s="271"/>
      <c r="P327" s="271"/>
      <c r="Q327" s="271"/>
      <c r="R327" s="271"/>
      <c r="S327" s="271"/>
      <c r="T327" s="271"/>
      <c r="U327" s="271"/>
      <c r="V327" s="271"/>
      <c r="W327" s="271"/>
      <c r="X327" s="271"/>
      <c r="Y327" s="271"/>
      <c r="Z327" s="271"/>
    </row>
    <row r="328">
      <c r="A328" s="271"/>
      <c r="B328" s="271"/>
      <c r="C328" s="271"/>
      <c r="D328" s="271"/>
      <c r="E328" s="271"/>
      <c r="F328" s="271"/>
      <c r="G328" s="271"/>
      <c r="H328" s="271"/>
      <c r="I328" s="271"/>
      <c r="J328" s="271"/>
      <c r="K328" s="271"/>
      <c r="L328" s="271"/>
      <c r="M328" s="271"/>
      <c r="N328" s="271"/>
      <c r="O328" s="271"/>
      <c r="P328" s="271"/>
      <c r="Q328" s="271"/>
      <c r="R328" s="271"/>
      <c r="S328" s="271"/>
      <c r="T328" s="271"/>
      <c r="U328" s="271"/>
      <c r="V328" s="271"/>
      <c r="W328" s="271"/>
      <c r="X328" s="271"/>
      <c r="Y328" s="271"/>
      <c r="Z328" s="271"/>
    </row>
    <row r="329">
      <c r="A329" s="271"/>
      <c r="B329" s="271"/>
      <c r="C329" s="271"/>
      <c r="D329" s="271"/>
      <c r="E329" s="271"/>
      <c r="F329" s="271"/>
      <c r="G329" s="271"/>
      <c r="H329" s="271"/>
      <c r="I329" s="271"/>
      <c r="J329" s="271"/>
      <c r="K329" s="271"/>
      <c r="L329" s="271"/>
      <c r="M329" s="271"/>
      <c r="N329" s="271"/>
      <c r="O329" s="271"/>
      <c r="P329" s="271"/>
      <c r="Q329" s="271"/>
      <c r="R329" s="271"/>
      <c r="S329" s="271"/>
      <c r="T329" s="271"/>
      <c r="U329" s="271"/>
      <c r="V329" s="271"/>
      <c r="W329" s="271"/>
      <c r="X329" s="271"/>
      <c r="Y329" s="271"/>
      <c r="Z329" s="271"/>
    </row>
    <row r="330">
      <c r="A330" s="271"/>
      <c r="B330" s="271"/>
      <c r="C330" s="271"/>
      <c r="D330" s="271"/>
      <c r="E330" s="271"/>
      <c r="F330" s="271"/>
      <c r="G330" s="271"/>
      <c r="H330" s="271"/>
      <c r="I330" s="271"/>
      <c r="J330" s="271"/>
      <c r="K330" s="271"/>
      <c r="L330" s="271"/>
      <c r="M330" s="271"/>
      <c r="N330" s="271"/>
      <c r="O330" s="271"/>
      <c r="P330" s="271"/>
      <c r="Q330" s="271"/>
      <c r="R330" s="271"/>
      <c r="S330" s="271"/>
      <c r="T330" s="271"/>
      <c r="U330" s="271"/>
      <c r="V330" s="271"/>
      <c r="W330" s="271"/>
      <c r="X330" s="271"/>
      <c r="Y330" s="271"/>
      <c r="Z330" s="271"/>
    </row>
    <row r="331">
      <c r="A331" s="271"/>
      <c r="B331" s="271"/>
      <c r="C331" s="271"/>
      <c r="D331" s="271"/>
      <c r="E331" s="271"/>
      <c r="F331" s="271"/>
      <c r="G331" s="271"/>
      <c r="H331" s="271"/>
      <c r="I331" s="271"/>
      <c r="J331" s="271"/>
      <c r="K331" s="271"/>
      <c r="L331" s="271"/>
      <c r="M331" s="271"/>
      <c r="N331" s="271"/>
      <c r="O331" s="271"/>
      <c r="P331" s="271"/>
      <c r="Q331" s="271"/>
      <c r="R331" s="271"/>
      <c r="S331" s="271"/>
      <c r="T331" s="271"/>
      <c r="U331" s="271"/>
      <c r="V331" s="271"/>
      <c r="W331" s="271"/>
      <c r="X331" s="271"/>
      <c r="Y331" s="271"/>
      <c r="Z331" s="271"/>
    </row>
    <row r="332">
      <c r="A332" s="271"/>
      <c r="B332" s="271"/>
      <c r="C332" s="271"/>
      <c r="D332" s="271"/>
      <c r="E332" s="271"/>
      <c r="F332" s="271"/>
      <c r="G332" s="271"/>
      <c r="H332" s="271"/>
      <c r="I332" s="271"/>
      <c r="J332" s="271"/>
      <c r="K332" s="271"/>
      <c r="L332" s="271"/>
      <c r="M332" s="271"/>
      <c r="N332" s="271"/>
      <c r="O332" s="271"/>
      <c r="P332" s="271"/>
      <c r="Q332" s="271"/>
      <c r="R332" s="271"/>
      <c r="S332" s="271"/>
      <c r="T332" s="271"/>
      <c r="U332" s="271"/>
      <c r="V332" s="271"/>
      <c r="W332" s="271"/>
      <c r="X332" s="271"/>
      <c r="Y332" s="271"/>
      <c r="Z332" s="271"/>
    </row>
    <row r="333">
      <c r="A333" s="271"/>
      <c r="B333" s="271"/>
      <c r="C333" s="271"/>
      <c r="D333" s="271"/>
      <c r="E333" s="271"/>
      <c r="F333" s="271"/>
      <c r="G333" s="271"/>
      <c r="H333" s="271"/>
      <c r="I333" s="271"/>
      <c r="J333" s="271"/>
      <c r="K333" s="271"/>
      <c r="L333" s="271"/>
      <c r="M333" s="271"/>
      <c r="N333" s="271"/>
      <c r="O333" s="271"/>
      <c r="P333" s="271"/>
      <c r="Q333" s="271"/>
      <c r="R333" s="271"/>
      <c r="S333" s="271"/>
      <c r="T333" s="271"/>
      <c r="U333" s="271"/>
      <c r="V333" s="271"/>
      <c r="W333" s="271"/>
      <c r="X333" s="271"/>
      <c r="Y333" s="271"/>
      <c r="Z333" s="271"/>
    </row>
    <row r="334">
      <c r="A334" s="271"/>
      <c r="B334" s="271"/>
      <c r="C334" s="271"/>
      <c r="D334" s="271"/>
      <c r="E334" s="271"/>
      <c r="F334" s="271"/>
      <c r="G334" s="271"/>
      <c r="H334" s="271"/>
      <c r="I334" s="271"/>
      <c r="J334" s="271"/>
      <c r="K334" s="271"/>
      <c r="L334" s="271"/>
      <c r="M334" s="271"/>
      <c r="N334" s="271"/>
      <c r="O334" s="271"/>
      <c r="P334" s="271"/>
      <c r="Q334" s="271"/>
      <c r="R334" s="271"/>
      <c r="S334" s="271"/>
      <c r="T334" s="271"/>
      <c r="U334" s="271"/>
      <c r="V334" s="271"/>
      <c r="W334" s="271"/>
      <c r="X334" s="271"/>
      <c r="Y334" s="271"/>
      <c r="Z334" s="271"/>
    </row>
    <row r="335">
      <c r="A335" s="271"/>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row>
    <row r="336">
      <c r="A336" s="271"/>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row>
    <row r="337">
      <c r="A337" s="271"/>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row>
    <row r="338">
      <c r="A338" s="271"/>
      <c r="B338" s="271"/>
      <c r="C338" s="271"/>
      <c r="D338" s="271"/>
      <c r="E338" s="271"/>
      <c r="F338" s="271"/>
      <c r="G338" s="271"/>
      <c r="H338" s="271"/>
      <c r="I338" s="271"/>
      <c r="J338" s="271"/>
      <c r="K338" s="271"/>
      <c r="L338" s="271"/>
      <c r="M338" s="271"/>
      <c r="N338" s="271"/>
      <c r="O338" s="271"/>
      <c r="P338" s="271"/>
      <c r="Q338" s="271"/>
      <c r="R338" s="271"/>
      <c r="S338" s="271"/>
      <c r="T338" s="271"/>
      <c r="U338" s="271"/>
      <c r="V338" s="271"/>
      <c r="W338" s="271"/>
      <c r="X338" s="271"/>
      <c r="Y338" s="271"/>
      <c r="Z338" s="271"/>
    </row>
    <row r="339">
      <c r="A339" s="271"/>
      <c r="B339" s="271"/>
      <c r="C339" s="271"/>
      <c r="D339" s="271"/>
      <c r="E339" s="271"/>
      <c r="F339" s="271"/>
      <c r="G339" s="271"/>
      <c r="H339" s="271"/>
      <c r="I339" s="271"/>
      <c r="J339" s="271"/>
      <c r="K339" s="271"/>
      <c r="L339" s="271"/>
      <c r="M339" s="271"/>
      <c r="N339" s="271"/>
      <c r="O339" s="271"/>
      <c r="P339" s="271"/>
      <c r="Q339" s="271"/>
      <c r="R339" s="271"/>
      <c r="S339" s="271"/>
      <c r="T339" s="271"/>
      <c r="U339" s="271"/>
      <c r="V339" s="271"/>
      <c r="W339" s="271"/>
      <c r="X339" s="271"/>
      <c r="Y339" s="271"/>
      <c r="Z339" s="271"/>
    </row>
    <row r="340">
      <c r="A340" s="271"/>
      <c r="B340" s="271"/>
      <c r="C340" s="271"/>
      <c r="D340" s="271"/>
      <c r="E340" s="271"/>
      <c r="F340" s="271"/>
      <c r="G340" s="271"/>
      <c r="H340" s="271"/>
      <c r="I340" s="271"/>
      <c r="J340" s="271"/>
      <c r="K340" s="271"/>
      <c r="L340" s="271"/>
      <c r="M340" s="271"/>
      <c r="N340" s="271"/>
      <c r="O340" s="271"/>
      <c r="P340" s="271"/>
      <c r="Q340" s="271"/>
      <c r="R340" s="271"/>
      <c r="S340" s="271"/>
      <c r="T340" s="271"/>
      <c r="U340" s="271"/>
      <c r="V340" s="271"/>
      <c r="W340" s="271"/>
      <c r="X340" s="271"/>
      <c r="Y340" s="271"/>
      <c r="Z340" s="271"/>
    </row>
    <row r="341">
      <c r="A341" s="271"/>
      <c r="B341" s="271"/>
      <c r="C341" s="271"/>
      <c r="D341" s="271"/>
      <c r="E341" s="271"/>
      <c r="F341" s="271"/>
      <c r="G341" s="271"/>
      <c r="H341" s="271"/>
      <c r="I341" s="271"/>
      <c r="J341" s="271"/>
      <c r="K341" s="271"/>
      <c r="L341" s="271"/>
      <c r="M341" s="271"/>
      <c r="N341" s="271"/>
      <c r="O341" s="271"/>
      <c r="P341" s="271"/>
      <c r="Q341" s="271"/>
      <c r="R341" s="271"/>
      <c r="S341" s="271"/>
      <c r="T341" s="271"/>
      <c r="U341" s="271"/>
      <c r="V341" s="271"/>
      <c r="W341" s="271"/>
      <c r="X341" s="271"/>
      <c r="Y341" s="271"/>
      <c r="Z341" s="271"/>
    </row>
    <row r="342">
      <c r="A342" s="271"/>
      <c r="B342" s="271"/>
      <c r="C342" s="271"/>
      <c r="D342" s="271"/>
      <c r="E342" s="271"/>
      <c r="F342" s="271"/>
      <c r="G342" s="271"/>
      <c r="H342" s="271"/>
      <c r="I342" s="271"/>
      <c r="J342" s="271"/>
      <c r="K342" s="271"/>
      <c r="L342" s="271"/>
      <c r="M342" s="271"/>
      <c r="N342" s="271"/>
      <c r="O342" s="271"/>
      <c r="P342" s="271"/>
      <c r="Q342" s="271"/>
      <c r="R342" s="271"/>
      <c r="S342" s="271"/>
      <c r="T342" s="271"/>
      <c r="U342" s="271"/>
      <c r="V342" s="271"/>
      <c r="W342" s="271"/>
      <c r="X342" s="271"/>
      <c r="Y342" s="271"/>
      <c r="Z342" s="271"/>
    </row>
    <row r="343">
      <c r="A343" s="271"/>
      <c r="B343" s="271"/>
      <c r="C343" s="271"/>
      <c r="D343" s="271"/>
      <c r="E343" s="271"/>
      <c r="F343" s="271"/>
      <c r="G343" s="271"/>
      <c r="H343" s="271"/>
      <c r="I343" s="271"/>
      <c r="J343" s="271"/>
      <c r="K343" s="271"/>
      <c r="L343" s="271"/>
      <c r="M343" s="271"/>
      <c r="N343" s="271"/>
      <c r="O343" s="271"/>
      <c r="P343" s="271"/>
      <c r="Q343" s="271"/>
      <c r="R343" s="271"/>
      <c r="S343" s="271"/>
      <c r="T343" s="271"/>
      <c r="U343" s="271"/>
      <c r="V343" s="271"/>
      <c r="W343" s="271"/>
      <c r="X343" s="271"/>
      <c r="Y343" s="271"/>
      <c r="Z343" s="271"/>
    </row>
    <row r="344">
      <c r="A344" s="271"/>
      <c r="B344" s="271"/>
      <c r="C344" s="271"/>
      <c r="D344" s="271"/>
      <c r="E344" s="271"/>
      <c r="F344" s="271"/>
      <c r="G344" s="271"/>
      <c r="H344" s="271"/>
      <c r="I344" s="271"/>
      <c r="J344" s="271"/>
      <c r="K344" s="271"/>
      <c r="L344" s="271"/>
      <c r="M344" s="271"/>
      <c r="N344" s="271"/>
      <c r="O344" s="271"/>
      <c r="P344" s="271"/>
      <c r="Q344" s="271"/>
      <c r="R344" s="271"/>
      <c r="S344" s="271"/>
      <c r="T344" s="271"/>
      <c r="U344" s="271"/>
      <c r="V344" s="271"/>
      <c r="W344" s="271"/>
      <c r="X344" s="271"/>
      <c r="Y344" s="271"/>
      <c r="Z344" s="271"/>
    </row>
    <row r="345">
      <c r="A345" s="271"/>
      <c r="B345" s="271"/>
      <c r="C345" s="271"/>
      <c r="D345" s="271"/>
      <c r="E345" s="271"/>
      <c r="F345" s="271"/>
      <c r="G345" s="271"/>
      <c r="H345" s="271"/>
      <c r="I345" s="271"/>
      <c r="J345" s="271"/>
      <c r="K345" s="271"/>
      <c r="L345" s="271"/>
      <c r="M345" s="271"/>
      <c r="N345" s="271"/>
      <c r="O345" s="271"/>
      <c r="P345" s="271"/>
      <c r="Q345" s="271"/>
      <c r="R345" s="271"/>
      <c r="S345" s="271"/>
      <c r="T345" s="271"/>
      <c r="U345" s="271"/>
      <c r="V345" s="271"/>
      <c r="W345" s="271"/>
      <c r="X345" s="271"/>
      <c r="Y345" s="271"/>
      <c r="Z345" s="271"/>
    </row>
    <row r="346">
      <c r="A346" s="271"/>
      <c r="B346" s="271"/>
      <c r="C346" s="271"/>
      <c r="D346" s="271"/>
      <c r="E346" s="271"/>
      <c r="F346" s="271"/>
      <c r="G346" s="271"/>
      <c r="H346" s="271"/>
      <c r="I346" s="271"/>
      <c r="J346" s="271"/>
      <c r="K346" s="271"/>
      <c r="L346" s="271"/>
      <c r="M346" s="271"/>
      <c r="N346" s="271"/>
      <c r="O346" s="271"/>
      <c r="P346" s="271"/>
      <c r="Q346" s="271"/>
      <c r="R346" s="271"/>
      <c r="S346" s="271"/>
      <c r="T346" s="271"/>
      <c r="U346" s="271"/>
      <c r="V346" s="271"/>
      <c r="W346" s="271"/>
      <c r="X346" s="271"/>
      <c r="Y346" s="271"/>
      <c r="Z346" s="271"/>
    </row>
    <row r="347">
      <c r="A347" s="271"/>
      <c r="B347" s="271"/>
      <c r="C347" s="271"/>
      <c r="D347" s="271"/>
      <c r="E347" s="271"/>
      <c r="F347" s="271"/>
      <c r="G347" s="271"/>
      <c r="H347" s="271"/>
      <c r="I347" s="271"/>
      <c r="J347" s="271"/>
      <c r="K347" s="271"/>
      <c r="L347" s="271"/>
      <c r="M347" s="271"/>
      <c r="N347" s="271"/>
      <c r="O347" s="271"/>
      <c r="P347" s="271"/>
      <c r="Q347" s="271"/>
      <c r="R347" s="271"/>
      <c r="S347" s="271"/>
      <c r="T347" s="271"/>
      <c r="U347" s="271"/>
      <c r="V347" s="271"/>
      <c r="W347" s="271"/>
      <c r="X347" s="271"/>
      <c r="Y347" s="271"/>
      <c r="Z347" s="271"/>
    </row>
    <row r="348">
      <c r="A348" s="271"/>
      <c r="B348" s="271"/>
      <c r="C348" s="271"/>
      <c r="D348" s="271"/>
      <c r="E348" s="271"/>
      <c r="F348" s="271"/>
      <c r="G348" s="271"/>
      <c r="H348" s="271"/>
      <c r="I348" s="271"/>
      <c r="J348" s="271"/>
      <c r="K348" s="271"/>
      <c r="L348" s="271"/>
      <c r="M348" s="271"/>
      <c r="N348" s="271"/>
      <c r="O348" s="271"/>
      <c r="P348" s="271"/>
      <c r="Q348" s="271"/>
      <c r="R348" s="271"/>
      <c r="S348" s="271"/>
      <c r="T348" s="271"/>
      <c r="U348" s="271"/>
      <c r="V348" s="271"/>
      <c r="W348" s="271"/>
      <c r="X348" s="271"/>
      <c r="Y348" s="271"/>
      <c r="Z348" s="271"/>
    </row>
    <row r="349">
      <c r="A349" s="271"/>
      <c r="B349" s="271"/>
      <c r="C349" s="271"/>
      <c r="D349" s="271"/>
      <c r="E349" s="271"/>
      <c r="F349" s="271"/>
      <c r="G349" s="271"/>
      <c r="H349" s="271"/>
      <c r="I349" s="271"/>
      <c r="J349" s="271"/>
      <c r="K349" s="271"/>
      <c r="L349" s="271"/>
      <c r="M349" s="271"/>
      <c r="N349" s="271"/>
      <c r="O349" s="271"/>
      <c r="P349" s="271"/>
      <c r="Q349" s="271"/>
      <c r="R349" s="271"/>
      <c r="S349" s="271"/>
      <c r="T349" s="271"/>
      <c r="U349" s="271"/>
      <c r="V349" s="271"/>
      <c r="W349" s="271"/>
      <c r="X349" s="271"/>
      <c r="Y349" s="271"/>
      <c r="Z349" s="271"/>
    </row>
    <row r="350">
      <c r="A350" s="271"/>
      <c r="B350" s="271"/>
      <c r="C350" s="271"/>
      <c r="D350" s="271"/>
      <c r="E350" s="271"/>
      <c r="F350" s="271"/>
      <c r="G350" s="271"/>
      <c r="H350" s="271"/>
      <c r="I350" s="271"/>
      <c r="J350" s="271"/>
      <c r="K350" s="271"/>
      <c r="L350" s="271"/>
      <c r="M350" s="271"/>
      <c r="N350" s="271"/>
      <c r="O350" s="271"/>
      <c r="P350" s="271"/>
      <c r="Q350" s="271"/>
      <c r="R350" s="271"/>
      <c r="S350" s="271"/>
      <c r="T350" s="271"/>
      <c r="U350" s="271"/>
      <c r="V350" s="271"/>
      <c r="W350" s="271"/>
      <c r="X350" s="271"/>
      <c r="Y350" s="271"/>
      <c r="Z350" s="271"/>
    </row>
    <row r="351">
      <c r="A351" s="271"/>
      <c r="B351" s="271"/>
      <c r="C351" s="271"/>
      <c r="D351" s="271"/>
      <c r="E351" s="271"/>
      <c r="F351" s="271"/>
      <c r="G351" s="271"/>
      <c r="H351" s="271"/>
      <c r="I351" s="271"/>
      <c r="J351" s="271"/>
      <c r="K351" s="271"/>
      <c r="L351" s="271"/>
      <c r="M351" s="271"/>
      <c r="N351" s="271"/>
      <c r="O351" s="271"/>
      <c r="P351" s="271"/>
      <c r="Q351" s="271"/>
      <c r="R351" s="271"/>
      <c r="S351" s="271"/>
      <c r="T351" s="271"/>
      <c r="U351" s="271"/>
      <c r="V351" s="271"/>
      <c r="W351" s="271"/>
      <c r="X351" s="271"/>
      <c r="Y351" s="271"/>
      <c r="Z351" s="271"/>
    </row>
    <row r="352">
      <c r="A352" s="271"/>
      <c r="B352" s="271"/>
      <c r="C352" s="271"/>
      <c r="D352" s="271"/>
      <c r="E352" s="271"/>
      <c r="F352" s="271"/>
      <c r="G352" s="271"/>
      <c r="H352" s="271"/>
      <c r="I352" s="271"/>
      <c r="J352" s="271"/>
      <c r="K352" s="271"/>
      <c r="L352" s="271"/>
      <c r="M352" s="271"/>
      <c r="N352" s="271"/>
      <c r="O352" s="271"/>
      <c r="P352" s="271"/>
      <c r="Q352" s="271"/>
      <c r="R352" s="271"/>
      <c r="S352" s="271"/>
      <c r="T352" s="271"/>
      <c r="U352" s="271"/>
      <c r="V352" s="271"/>
      <c r="W352" s="271"/>
      <c r="X352" s="271"/>
      <c r="Y352" s="271"/>
      <c r="Z352" s="271"/>
    </row>
    <row r="353">
      <c r="A353" s="271"/>
      <c r="B353" s="271"/>
      <c r="C353" s="271"/>
      <c r="D353" s="271"/>
      <c r="E353" s="271"/>
      <c r="F353" s="271"/>
      <c r="G353" s="271"/>
      <c r="H353" s="271"/>
      <c r="I353" s="271"/>
      <c r="J353" s="271"/>
      <c r="K353" s="271"/>
      <c r="L353" s="271"/>
      <c r="M353" s="271"/>
      <c r="N353" s="271"/>
      <c r="O353" s="271"/>
      <c r="P353" s="271"/>
      <c r="Q353" s="271"/>
      <c r="R353" s="271"/>
      <c r="S353" s="271"/>
      <c r="T353" s="271"/>
      <c r="U353" s="271"/>
      <c r="V353" s="271"/>
      <c r="W353" s="271"/>
      <c r="X353" s="271"/>
      <c r="Y353" s="271"/>
      <c r="Z353" s="271"/>
    </row>
    <row r="354">
      <c r="A354" s="271"/>
      <c r="B354" s="271"/>
      <c r="C354" s="271"/>
      <c r="D354" s="271"/>
      <c r="E354" s="271"/>
      <c r="F354" s="271"/>
      <c r="G354" s="271"/>
      <c r="H354" s="271"/>
      <c r="I354" s="271"/>
      <c r="J354" s="271"/>
      <c r="K354" s="271"/>
      <c r="L354" s="271"/>
      <c r="M354" s="271"/>
      <c r="N354" s="271"/>
      <c r="O354" s="271"/>
      <c r="P354" s="271"/>
      <c r="Q354" s="271"/>
      <c r="R354" s="271"/>
      <c r="S354" s="271"/>
      <c r="T354" s="271"/>
      <c r="U354" s="271"/>
      <c r="V354" s="271"/>
      <c r="W354" s="271"/>
      <c r="X354" s="271"/>
      <c r="Y354" s="271"/>
      <c r="Z354" s="271"/>
    </row>
    <row r="355">
      <c r="A355" s="271"/>
      <c r="B355" s="271"/>
      <c r="C355" s="271"/>
      <c r="D355" s="271"/>
      <c r="E355" s="271"/>
      <c r="F355" s="271"/>
      <c r="G355" s="271"/>
      <c r="H355" s="271"/>
      <c r="I355" s="271"/>
      <c r="J355" s="271"/>
      <c r="K355" s="271"/>
      <c r="L355" s="271"/>
      <c r="M355" s="271"/>
      <c r="N355" s="271"/>
      <c r="O355" s="271"/>
      <c r="P355" s="271"/>
      <c r="Q355" s="271"/>
      <c r="R355" s="271"/>
      <c r="S355" s="271"/>
      <c r="T355" s="271"/>
      <c r="U355" s="271"/>
      <c r="V355" s="271"/>
      <c r="W355" s="271"/>
      <c r="X355" s="271"/>
      <c r="Y355" s="271"/>
      <c r="Z355" s="271"/>
    </row>
    <row r="356">
      <c r="A356" s="271"/>
      <c r="B356" s="271"/>
      <c r="C356" s="271"/>
      <c r="D356" s="271"/>
      <c r="E356" s="271"/>
      <c r="F356" s="271"/>
      <c r="G356" s="271"/>
      <c r="H356" s="271"/>
      <c r="I356" s="271"/>
      <c r="J356" s="271"/>
      <c r="K356" s="271"/>
      <c r="L356" s="271"/>
      <c r="M356" s="271"/>
      <c r="N356" s="271"/>
      <c r="O356" s="271"/>
      <c r="P356" s="271"/>
      <c r="Q356" s="271"/>
      <c r="R356" s="271"/>
      <c r="S356" s="271"/>
      <c r="T356" s="271"/>
      <c r="U356" s="271"/>
      <c r="V356" s="271"/>
      <c r="W356" s="271"/>
      <c r="X356" s="271"/>
      <c r="Y356" s="271"/>
      <c r="Z356" s="271"/>
    </row>
    <row r="357">
      <c r="A357" s="271"/>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row>
    <row r="358">
      <c r="A358" s="271"/>
      <c r="B358" s="271"/>
      <c r="C358" s="271"/>
      <c r="D358" s="271"/>
      <c r="E358" s="271"/>
      <c r="F358" s="271"/>
      <c r="G358" s="271"/>
      <c r="H358" s="271"/>
      <c r="I358" s="271"/>
      <c r="J358" s="271"/>
      <c r="K358" s="271"/>
      <c r="L358" s="271"/>
      <c r="M358" s="271"/>
      <c r="N358" s="271"/>
      <c r="O358" s="271"/>
      <c r="P358" s="271"/>
      <c r="Q358" s="271"/>
      <c r="R358" s="271"/>
      <c r="S358" s="271"/>
      <c r="T358" s="271"/>
      <c r="U358" s="271"/>
      <c r="V358" s="271"/>
      <c r="W358" s="271"/>
      <c r="X358" s="271"/>
      <c r="Y358" s="271"/>
      <c r="Z358" s="271"/>
    </row>
    <row r="359">
      <c r="A359" s="271"/>
      <c r="B359" s="271"/>
      <c r="C359" s="271"/>
      <c r="D359" s="271"/>
      <c r="E359" s="271"/>
      <c r="F359" s="271"/>
      <c r="G359" s="271"/>
      <c r="H359" s="271"/>
      <c r="I359" s="271"/>
      <c r="J359" s="271"/>
      <c r="K359" s="271"/>
      <c r="L359" s="271"/>
      <c r="M359" s="271"/>
      <c r="N359" s="271"/>
      <c r="O359" s="271"/>
      <c r="P359" s="271"/>
      <c r="Q359" s="271"/>
      <c r="R359" s="271"/>
      <c r="S359" s="271"/>
      <c r="T359" s="271"/>
      <c r="U359" s="271"/>
      <c r="V359" s="271"/>
      <c r="W359" s="271"/>
      <c r="X359" s="271"/>
      <c r="Y359" s="271"/>
      <c r="Z359" s="271"/>
    </row>
    <row r="360">
      <c r="A360" s="271"/>
      <c r="B360" s="271"/>
      <c r="C360" s="271"/>
      <c r="D360" s="271"/>
      <c r="E360" s="271"/>
      <c r="F360" s="271"/>
      <c r="G360" s="271"/>
      <c r="H360" s="271"/>
      <c r="I360" s="271"/>
      <c r="J360" s="271"/>
      <c r="K360" s="271"/>
      <c r="L360" s="271"/>
      <c r="M360" s="271"/>
      <c r="N360" s="271"/>
      <c r="O360" s="271"/>
      <c r="P360" s="271"/>
      <c r="Q360" s="271"/>
      <c r="R360" s="271"/>
      <c r="S360" s="271"/>
      <c r="T360" s="271"/>
      <c r="U360" s="271"/>
      <c r="V360" s="271"/>
      <c r="W360" s="271"/>
      <c r="X360" s="271"/>
      <c r="Y360" s="271"/>
      <c r="Z360" s="271"/>
    </row>
    <row r="361">
      <c r="A361" s="271"/>
      <c r="B361" s="271"/>
      <c r="C361" s="271"/>
      <c r="D361" s="271"/>
      <c r="E361" s="271"/>
      <c r="F361" s="271"/>
      <c r="G361" s="271"/>
      <c r="H361" s="271"/>
      <c r="I361" s="271"/>
      <c r="J361" s="271"/>
      <c r="K361" s="271"/>
      <c r="L361" s="271"/>
      <c r="M361" s="271"/>
      <c r="N361" s="271"/>
      <c r="O361" s="271"/>
      <c r="P361" s="271"/>
      <c r="Q361" s="271"/>
      <c r="R361" s="271"/>
      <c r="S361" s="271"/>
      <c r="T361" s="271"/>
      <c r="U361" s="271"/>
      <c r="V361" s="271"/>
      <c r="W361" s="271"/>
      <c r="X361" s="271"/>
      <c r="Y361" s="271"/>
      <c r="Z361" s="271"/>
    </row>
    <row r="362">
      <c r="A362" s="271"/>
      <c r="B362" s="271"/>
      <c r="C362" s="271"/>
      <c r="D362" s="271"/>
      <c r="E362" s="271"/>
      <c r="F362" s="271"/>
      <c r="G362" s="271"/>
      <c r="H362" s="271"/>
      <c r="I362" s="271"/>
      <c r="J362" s="271"/>
      <c r="K362" s="271"/>
      <c r="L362" s="271"/>
      <c r="M362" s="271"/>
      <c r="N362" s="271"/>
      <c r="O362" s="271"/>
      <c r="P362" s="271"/>
      <c r="Q362" s="271"/>
      <c r="R362" s="271"/>
      <c r="S362" s="271"/>
      <c r="T362" s="271"/>
      <c r="U362" s="271"/>
      <c r="V362" s="271"/>
      <c r="W362" s="271"/>
      <c r="X362" s="271"/>
      <c r="Y362" s="271"/>
      <c r="Z362" s="271"/>
    </row>
    <row r="363">
      <c r="A363" s="271"/>
      <c r="B363" s="271"/>
      <c r="C363" s="271"/>
      <c r="D363" s="271"/>
      <c r="E363" s="271"/>
      <c r="F363" s="271"/>
      <c r="G363" s="271"/>
      <c r="H363" s="271"/>
      <c r="I363" s="271"/>
      <c r="J363" s="271"/>
      <c r="K363" s="271"/>
      <c r="L363" s="271"/>
      <c r="M363" s="271"/>
      <c r="N363" s="271"/>
      <c r="O363" s="271"/>
      <c r="P363" s="271"/>
      <c r="Q363" s="271"/>
      <c r="R363" s="271"/>
      <c r="S363" s="271"/>
      <c r="T363" s="271"/>
      <c r="U363" s="271"/>
      <c r="V363" s="271"/>
      <c r="W363" s="271"/>
      <c r="X363" s="271"/>
      <c r="Y363" s="271"/>
      <c r="Z363" s="271"/>
    </row>
    <row r="364">
      <c r="A364" s="271"/>
      <c r="B364" s="271"/>
      <c r="C364" s="271"/>
      <c r="D364" s="271"/>
      <c r="E364" s="271"/>
      <c r="F364" s="271"/>
      <c r="G364" s="271"/>
      <c r="H364" s="271"/>
      <c r="I364" s="271"/>
      <c r="J364" s="271"/>
      <c r="K364" s="271"/>
      <c r="L364" s="271"/>
      <c r="M364" s="271"/>
      <c r="N364" s="271"/>
      <c r="O364" s="271"/>
      <c r="P364" s="271"/>
      <c r="Q364" s="271"/>
      <c r="R364" s="271"/>
      <c r="S364" s="271"/>
      <c r="T364" s="271"/>
      <c r="U364" s="271"/>
      <c r="V364" s="271"/>
      <c r="W364" s="271"/>
      <c r="X364" s="271"/>
      <c r="Y364" s="271"/>
      <c r="Z364" s="271"/>
    </row>
    <row r="365">
      <c r="A365" s="271"/>
      <c r="B365" s="271"/>
      <c r="C365" s="271"/>
      <c r="D365" s="271"/>
      <c r="E365" s="271"/>
      <c r="F365" s="271"/>
      <c r="G365" s="271"/>
      <c r="H365" s="271"/>
      <c r="I365" s="271"/>
      <c r="J365" s="271"/>
      <c r="K365" s="271"/>
      <c r="L365" s="271"/>
      <c r="M365" s="271"/>
      <c r="N365" s="271"/>
      <c r="O365" s="271"/>
      <c r="P365" s="271"/>
      <c r="Q365" s="271"/>
      <c r="R365" s="271"/>
      <c r="S365" s="271"/>
      <c r="T365" s="271"/>
      <c r="U365" s="271"/>
      <c r="V365" s="271"/>
      <c r="W365" s="271"/>
      <c r="X365" s="271"/>
      <c r="Y365" s="271"/>
      <c r="Z365" s="271"/>
    </row>
    <row r="366">
      <c r="A366" s="271"/>
      <c r="B366" s="271"/>
      <c r="C366" s="271"/>
      <c r="D366" s="271"/>
      <c r="E366" s="271"/>
      <c r="F366" s="271"/>
      <c r="G366" s="271"/>
      <c r="H366" s="271"/>
      <c r="I366" s="271"/>
      <c r="J366" s="271"/>
      <c r="K366" s="271"/>
      <c r="L366" s="271"/>
      <c r="M366" s="271"/>
      <c r="N366" s="271"/>
      <c r="O366" s="271"/>
      <c r="P366" s="271"/>
      <c r="Q366" s="271"/>
      <c r="R366" s="271"/>
      <c r="S366" s="271"/>
      <c r="T366" s="271"/>
      <c r="U366" s="271"/>
      <c r="V366" s="271"/>
      <c r="W366" s="271"/>
      <c r="X366" s="271"/>
      <c r="Y366" s="271"/>
      <c r="Z366" s="271"/>
    </row>
    <row r="367">
      <c r="A367" s="271"/>
      <c r="B367" s="271"/>
      <c r="C367" s="271"/>
      <c r="D367" s="271"/>
      <c r="E367" s="271"/>
      <c r="F367" s="271"/>
      <c r="G367" s="271"/>
      <c r="H367" s="271"/>
      <c r="I367" s="271"/>
      <c r="J367" s="271"/>
      <c r="K367" s="271"/>
      <c r="L367" s="271"/>
      <c r="M367" s="271"/>
      <c r="N367" s="271"/>
      <c r="O367" s="271"/>
      <c r="P367" s="271"/>
      <c r="Q367" s="271"/>
      <c r="R367" s="271"/>
      <c r="S367" s="271"/>
      <c r="T367" s="271"/>
      <c r="U367" s="271"/>
      <c r="V367" s="271"/>
      <c r="W367" s="271"/>
      <c r="X367" s="271"/>
      <c r="Y367" s="271"/>
      <c r="Z367" s="271"/>
    </row>
    <row r="368">
      <c r="A368" s="271"/>
      <c r="B368" s="271"/>
      <c r="C368" s="271"/>
      <c r="D368" s="271"/>
      <c r="E368" s="271"/>
      <c r="F368" s="271"/>
      <c r="G368" s="271"/>
      <c r="H368" s="271"/>
      <c r="I368" s="271"/>
      <c r="J368" s="271"/>
      <c r="K368" s="271"/>
      <c r="L368" s="271"/>
      <c r="M368" s="271"/>
      <c r="N368" s="271"/>
      <c r="O368" s="271"/>
      <c r="P368" s="271"/>
      <c r="Q368" s="271"/>
      <c r="R368" s="271"/>
      <c r="S368" s="271"/>
      <c r="T368" s="271"/>
      <c r="U368" s="271"/>
      <c r="V368" s="271"/>
      <c r="W368" s="271"/>
      <c r="X368" s="271"/>
      <c r="Y368" s="271"/>
      <c r="Z368" s="271"/>
    </row>
    <row r="369">
      <c r="A369" s="271"/>
      <c r="B369" s="271"/>
      <c r="C369" s="271"/>
      <c r="D369" s="271"/>
      <c r="E369" s="271"/>
      <c r="F369" s="271"/>
      <c r="G369" s="271"/>
      <c r="H369" s="271"/>
      <c r="I369" s="271"/>
      <c r="J369" s="271"/>
      <c r="K369" s="271"/>
      <c r="L369" s="271"/>
      <c r="M369" s="271"/>
      <c r="N369" s="271"/>
      <c r="O369" s="271"/>
      <c r="P369" s="271"/>
      <c r="Q369" s="271"/>
      <c r="R369" s="271"/>
      <c r="S369" s="271"/>
      <c r="T369" s="271"/>
      <c r="U369" s="271"/>
      <c r="V369" s="271"/>
      <c r="W369" s="271"/>
      <c r="X369" s="271"/>
      <c r="Y369" s="271"/>
      <c r="Z369" s="271"/>
    </row>
    <row r="370">
      <c r="A370" s="271"/>
      <c r="B370" s="271"/>
      <c r="C370" s="271"/>
      <c r="D370" s="271"/>
      <c r="E370" s="271"/>
      <c r="F370" s="271"/>
      <c r="G370" s="271"/>
      <c r="H370" s="271"/>
      <c r="I370" s="271"/>
      <c r="J370" s="271"/>
      <c r="K370" s="271"/>
      <c r="L370" s="271"/>
      <c r="M370" s="271"/>
      <c r="N370" s="271"/>
      <c r="O370" s="271"/>
      <c r="P370" s="271"/>
      <c r="Q370" s="271"/>
      <c r="R370" s="271"/>
      <c r="S370" s="271"/>
      <c r="T370" s="271"/>
      <c r="U370" s="271"/>
      <c r="V370" s="271"/>
      <c r="W370" s="271"/>
      <c r="X370" s="271"/>
      <c r="Y370" s="271"/>
      <c r="Z370" s="271"/>
    </row>
    <row r="371">
      <c r="A371" s="271"/>
      <c r="B371" s="271"/>
      <c r="C371" s="271"/>
      <c r="D371" s="271"/>
      <c r="E371" s="271"/>
      <c r="F371" s="271"/>
      <c r="G371" s="271"/>
      <c r="H371" s="271"/>
      <c r="I371" s="271"/>
      <c r="J371" s="271"/>
      <c r="K371" s="271"/>
      <c r="L371" s="271"/>
      <c r="M371" s="271"/>
      <c r="N371" s="271"/>
      <c r="O371" s="271"/>
      <c r="P371" s="271"/>
      <c r="Q371" s="271"/>
      <c r="R371" s="271"/>
      <c r="S371" s="271"/>
      <c r="T371" s="271"/>
      <c r="U371" s="271"/>
      <c r="V371" s="271"/>
      <c r="W371" s="271"/>
      <c r="X371" s="271"/>
      <c r="Y371" s="271"/>
      <c r="Z371" s="271"/>
    </row>
    <row r="372">
      <c r="A372" s="271"/>
      <c r="B372" s="271"/>
      <c r="C372" s="271"/>
      <c r="D372" s="271"/>
      <c r="E372" s="271"/>
      <c r="F372" s="271"/>
      <c r="G372" s="271"/>
      <c r="H372" s="271"/>
      <c r="I372" s="271"/>
      <c r="J372" s="271"/>
      <c r="K372" s="271"/>
      <c r="L372" s="271"/>
      <c r="M372" s="271"/>
      <c r="N372" s="271"/>
      <c r="O372" s="271"/>
      <c r="P372" s="271"/>
      <c r="Q372" s="271"/>
      <c r="R372" s="271"/>
      <c r="S372" s="271"/>
      <c r="T372" s="271"/>
      <c r="U372" s="271"/>
      <c r="V372" s="271"/>
      <c r="W372" s="271"/>
      <c r="X372" s="271"/>
      <c r="Y372" s="271"/>
      <c r="Z372" s="271"/>
    </row>
    <row r="373">
      <c r="A373" s="271"/>
      <c r="B373" s="271"/>
      <c r="C373" s="271"/>
      <c r="D373" s="271"/>
      <c r="E373" s="271"/>
      <c r="F373" s="271"/>
      <c r="G373" s="271"/>
      <c r="H373" s="271"/>
      <c r="I373" s="271"/>
      <c r="J373" s="271"/>
      <c r="K373" s="271"/>
      <c r="L373" s="271"/>
      <c r="M373" s="271"/>
      <c r="N373" s="271"/>
      <c r="O373" s="271"/>
      <c r="P373" s="271"/>
      <c r="Q373" s="271"/>
      <c r="R373" s="271"/>
      <c r="S373" s="271"/>
      <c r="T373" s="271"/>
      <c r="U373" s="271"/>
      <c r="V373" s="271"/>
      <c r="W373" s="271"/>
      <c r="X373" s="271"/>
      <c r="Y373" s="271"/>
      <c r="Z373" s="271"/>
    </row>
    <row r="374">
      <c r="A374" s="271"/>
      <c r="B374" s="271"/>
      <c r="C374" s="271"/>
      <c r="D374" s="271"/>
      <c r="E374" s="271"/>
      <c r="F374" s="271"/>
      <c r="G374" s="271"/>
      <c r="H374" s="271"/>
      <c r="I374" s="271"/>
      <c r="J374" s="271"/>
      <c r="K374" s="271"/>
      <c r="L374" s="271"/>
      <c r="M374" s="271"/>
      <c r="N374" s="271"/>
      <c r="O374" s="271"/>
      <c r="P374" s="271"/>
      <c r="Q374" s="271"/>
      <c r="R374" s="271"/>
      <c r="S374" s="271"/>
      <c r="T374" s="271"/>
      <c r="U374" s="271"/>
      <c r="V374" s="271"/>
      <c r="W374" s="271"/>
      <c r="X374" s="271"/>
      <c r="Y374" s="271"/>
      <c r="Z374" s="271"/>
    </row>
    <row r="375">
      <c r="A375" s="271"/>
      <c r="B375" s="271"/>
      <c r="C375" s="271"/>
      <c r="D375" s="271"/>
      <c r="E375" s="271"/>
      <c r="F375" s="271"/>
      <c r="G375" s="271"/>
      <c r="H375" s="271"/>
      <c r="I375" s="271"/>
      <c r="J375" s="271"/>
      <c r="K375" s="271"/>
      <c r="L375" s="271"/>
      <c r="M375" s="271"/>
      <c r="N375" s="271"/>
      <c r="O375" s="271"/>
      <c r="P375" s="271"/>
      <c r="Q375" s="271"/>
      <c r="R375" s="271"/>
      <c r="S375" s="271"/>
      <c r="T375" s="271"/>
      <c r="U375" s="271"/>
      <c r="V375" s="271"/>
      <c r="W375" s="271"/>
      <c r="X375" s="271"/>
      <c r="Y375" s="271"/>
      <c r="Z375" s="271"/>
    </row>
    <row r="376">
      <c r="A376" s="271"/>
      <c r="B376" s="271"/>
      <c r="C376" s="271"/>
      <c r="D376" s="271"/>
      <c r="E376" s="271"/>
      <c r="F376" s="271"/>
      <c r="G376" s="271"/>
      <c r="H376" s="271"/>
      <c r="I376" s="271"/>
      <c r="J376" s="271"/>
      <c r="K376" s="271"/>
      <c r="L376" s="271"/>
      <c r="M376" s="271"/>
      <c r="N376" s="271"/>
      <c r="O376" s="271"/>
      <c r="P376" s="271"/>
      <c r="Q376" s="271"/>
      <c r="R376" s="271"/>
      <c r="S376" s="271"/>
      <c r="T376" s="271"/>
      <c r="U376" s="271"/>
      <c r="V376" s="271"/>
      <c r="W376" s="271"/>
      <c r="X376" s="271"/>
      <c r="Y376" s="271"/>
      <c r="Z376" s="271"/>
    </row>
    <row r="377">
      <c r="A377" s="271"/>
      <c r="B377" s="271"/>
      <c r="C377" s="271"/>
      <c r="D377" s="271"/>
      <c r="E377" s="271"/>
      <c r="F377" s="271"/>
      <c r="G377" s="271"/>
      <c r="H377" s="271"/>
      <c r="I377" s="271"/>
      <c r="J377" s="271"/>
      <c r="K377" s="271"/>
      <c r="L377" s="271"/>
      <c r="M377" s="271"/>
      <c r="N377" s="271"/>
      <c r="O377" s="271"/>
      <c r="P377" s="271"/>
      <c r="Q377" s="271"/>
      <c r="R377" s="271"/>
      <c r="S377" s="271"/>
      <c r="T377" s="271"/>
      <c r="U377" s="271"/>
      <c r="V377" s="271"/>
      <c r="W377" s="271"/>
      <c r="X377" s="271"/>
      <c r="Y377" s="271"/>
      <c r="Z377" s="271"/>
    </row>
    <row r="378">
      <c r="A378" s="271"/>
      <c r="B378" s="271"/>
      <c r="C378" s="271"/>
      <c r="D378" s="271"/>
      <c r="E378" s="271"/>
      <c r="F378" s="271"/>
      <c r="G378" s="271"/>
      <c r="H378" s="271"/>
      <c r="I378" s="271"/>
      <c r="J378" s="271"/>
      <c r="K378" s="271"/>
      <c r="L378" s="271"/>
      <c r="M378" s="271"/>
      <c r="N378" s="271"/>
      <c r="O378" s="271"/>
      <c r="P378" s="271"/>
      <c r="Q378" s="271"/>
      <c r="R378" s="271"/>
      <c r="S378" s="271"/>
      <c r="T378" s="271"/>
      <c r="U378" s="271"/>
      <c r="V378" s="271"/>
      <c r="W378" s="271"/>
      <c r="X378" s="271"/>
      <c r="Y378" s="271"/>
      <c r="Z378" s="271"/>
    </row>
    <row r="379">
      <c r="A379" s="271"/>
      <c r="B379" s="271"/>
      <c r="C379" s="271"/>
      <c r="D379" s="271"/>
      <c r="E379" s="271"/>
      <c r="F379" s="271"/>
      <c r="G379" s="271"/>
      <c r="H379" s="271"/>
      <c r="I379" s="271"/>
      <c r="J379" s="271"/>
      <c r="K379" s="271"/>
      <c r="L379" s="271"/>
      <c r="M379" s="271"/>
      <c r="N379" s="271"/>
      <c r="O379" s="271"/>
      <c r="P379" s="271"/>
      <c r="Q379" s="271"/>
      <c r="R379" s="271"/>
      <c r="S379" s="271"/>
      <c r="T379" s="271"/>
      <c r="U379" s="271"/>
      <c r="V379" s="271"/>
      <c r="W379" s="271"/>
      <c r="X379" s="271"/>
      <c r="Y379" s="271"/>
      <c r="Z379" s="271"/>
    </row>
    <row r="380">
      <c r="A380" s="271"/>
      <c r="B380" s="271"/>
      <c r="C380" s="271"/>
      <c r="D380" s="271"/>
      <c r="E380" s="271"/>
      <c r="F380" s="271"/>
      <c r="G380" s="271"/>
      <c r="H380" s="271"/>
      <c r="I380" s="271"/>
      <c r="J380" s="271"/>
      <c r="K380" s="271"/>
      <c r="L380" s="271"/>
      <c r="M380" s="271"/>
      <c r="N380" s="271"/>
      <c r="O380" s="271"/>
      <c r="P380" s="271"/>
      <c r="Q380" s="271"/>
      <c r="R380" s="271"/>
      <c r="S380" s="271"/>
      <c r="T380" s="271"/>
      <c r="U380" s="271"/>
      <c r="V380" s="271"/>
      <c r="W380" s="271"/>
      <c r="X380" s="271"/>
      <c r="Y380" s="271"/>
      <c r="Z380" s="271"/>
    </row>
    <row r="381">
      <c r="A381" s="271"/>
      <c r="B381" s="271"/>
      <c r="C381" s="271"/>
      <c r="D381" s="271"/>
      <c r="E381" s="271"/>
      <c r="F381" s="271"/>
      <c r="G381" s="271"/>
      <c r="H381" s="271"/>
      <c r="I381" s="271"/>
      <c r="J381" s="271"/>
      <c r="K381" s="271"/>
      <c r="L381" s="271"/>
      <c r="M381" s="271"/>
      <c r="N381" s="271"/>
      <c r="O381" s="271"/>
      <c r="P381" s="271"/>
      <c r="Q381" s="271"/>
      <c r="R381" s="271"/>
      <c r="S381" s="271"/>
      <c r="T381" s="271"/>
      <c r="U381" s="271"/>
      <c r="V381" s="271"/>
      <c r="W381" s="271"/>
      <c r="X381" s="271"/>
      <c r="Y381" s="271"/>
      <c r="Z381" s="271"/>
    </row>
    <row r="382">
      <c r="A382" s="271"/>
      <c r="B382" s="271"/>
      <c r="C382" s="271"/>
      <c r="D382" s="271"/>
      <c r="E382" s="271"/>
      <c r="F382" s="271"/>
      <c r="G382" s="271"/>
      <c r="H382" s="271"/>
      <c r="I382" s="271"/>
      <c r="J382" s="271"/>
      <c r="K382" s="271"/>
      <c r="L382" s="271"/>
      <c r="M382" s="271"/>
      <c r="N382" s="271"/>
      <c r="O382" s="271"/>
      <c r="P382" s="271"/>
      <c r="Q382" s="271"/>
      <c r="R382" s="271"/>
      <c r="S382" s="271"/>
      <c r="T382" s="271"/>
      <c r="U382" s="271"/>
      <c r="V382" s="271"/>
      <c r="W382" s="271"/>
      <c r="X382" s="271"/>
      <c r="Y382" s="271"/>
      <c r="Z382" s="271"/>
    </row>
    <row r="383">
      <c r="A383" s="271"/>
      <c r="B383" s="271"/>
      <c r="C383" s="271"/>
      <c r="D383" s="271"/>
      <c r="E383" s="271"/>
      <c r="F383" s="271"/>
      <c r="G383" s="271"/>
      <c r="H383" s="271"/>
      <c r="I383" s="271"/>
      <c r="J383" s="271"/>
      <c r="K383" s="271"/>
      <c r="L383" s="271"/>
      <c r="M383" s="271"/>
      <c r="N383" s="271"/>
      <c r="O383" s="271"/>
      <c r="P383" s="271"/>
      <c r="Q383" s="271"/>
      <c r="R383" s="271"/>
      <c r="S383" s="271"/>
      <c r="T383" s="271"/>
      <c r="U383" s="271"/>
      <c r="V383" s="271"/>
      <c r="W383" s="271"/>
      <c r="X383" s="271"/>
      <c r="Y383" s="271"/>
      <c r="Z383" s="271"/>
    </row>
    <row r="384">
      <c r="A384" s="271"/>
      <c r="B384" s="271"/>
      <c r="C384" s="271"/>
      <c r="D384" s="271"/>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row>
    <row r="385">
      <c r="A385" s="271"/>
      <c r="B385" s="271"/>
      <c r="C385" s="271"/>
      <c r="D385" s="271"/>
      <c r="E385" s="271"/>
      <c r="F385" s="271"/>
      <c r="G385" s="271"/>
      <c r="H385" s="271"/>
      <c r="I385" s="271"/>
      <c r="J385" s="271"/>
      <c r="K385" s="271"/>
      <c r="L385" s="271"/>
      <c r="M385" s="271"/>
      <c r="N385" s="271"/>
      <c r="O385" s="271"/>
      <c r="P385" s="271"/>
      <c r="Q385" s="271"/>
      <c r="R385" s="271"/>
      <c r="S385" s="271"/>
      <c r="T385" s="271"/>
      <c r="U385" s="271"/>
      <c r="V385" s="271"/>
      <c r="W385" s="271"/>
      <c r="X385" s="271"/>
      <c r="Y385" s="271"/>
      <c r="Z385" s="271"/>
    </row>
    <row r="386">
      <c r="A386" s="271"/>
      <c r="B386" s="271"/>
      <c r="C386" s="271"/>
      <c r="D386" s="271"/>
      <c r="E386" s="271"/>
      <c r="F386" s="271"/>
      <c r="G386" s="271"/>
      <c r="H386" s="271"/>
      <c r="I386" s="271"/>
      <c r="J386" s="271"/>
      <c r="K386" s="271"/>
      <c r="L386" s="271"/>
      <c r="M386" s="271"/>
      <c r="N386" s="271"/>
      <c r="O386" s="271"/>
      <c r="P386" s="271"/>
      <c r="Q386" s="271"/>
      <c r="R386" s="271"/>
      <c r="S386" s="271"/>
      <c r="T386" s="271"/>
      <c r="U386" s="271"/>
      <c r="V386" s="271"/>
      <c r="W386" s="271"/>
      <c r="X386" s="271"/>
      <c r="Y386" s="271"/>
      <c r="Z386" s="271"/>
    </row>
    <row r="387">
      <c r="A387" s="271"/>
      <c r="B387" s="271"/>
      <c r="C387" s="271"/>
      <c r="D387" s="271"/>
      <c r="E387" s="271"/>
      <c r="F387" s="271"/>
      <c r="G387" s="271"/>
      <c r="H387" s="271"/>
      <c r="I387" s="271"/>
      <c r="J387" s="271"/>
      <c r="K387" s="271"/>
      <c r="L387" s="271"/>
      <c r="M387" s="271"/>
      <c r="N387" s="271"/>
      <c r="O387" s="271"/>
      <c r="P387" s="271"/>
      <c r="Q387" s="271"/>
      <c r="R387" s="271"/>
      <c r="S387" s="271"/>
      <c r="T387" s="271"/>
      <c r="U387" s="271"/>
      <c r="V387" s="271"/>
      <c r="W387" s="271"/>
      <c r="X387" s="271"/>
      <c r="Y387" s="271"/>
      <c r="Z387" s="271"/>
    </row>
    <row r="388">
      <c r="A388" s="271"/>
      <c r="B388" s="271"/>
      <c r="C388" s="271"/>
      <c r="D388" s="271"/>
      <c r="E388" s="271"/>
      <c r="F388" s="271"/>
      <c r="G388" s="271"/>
      <c r="H388" s="271"/>
      <c r="I388" s="271"/>
      <c r="J388" s="271"/>
      <c r="K388" s="271"/>
      <c r="L388" s="271"/>
      <c r="M388" s="271"/>
      <c r="N388" s="271"/>
      <c r="O388" s="271"/>
      <c r="P388" s="271"/>
      <c r="Q388" s="271"/>
      <c r="R388" s="271"/>
      <c r="S388" s="271"/>
      <c r="T388" s="271"/>
      <c r="U388" s="271"/>
      <c r="V388" s="271"/>
      <c r="W388" s="271"/>
      <c r="X388" s="271"/>
      <c r="Y388" s="271"/>
      <c r="Z388" s="271"/>
    </row>
    <row r="389">
      <c r="A389" s="271"/>
      <c r="B389" s="271"/>
      <c r="C389" s="271"/>
      <c r="D389" s="271"/>
      <c r="E389" s="271"/>
      <c r="F389" s="271"/>
      <c r="G389" s="271"/>
      <c r="H389" s="271"/>
      <c r="I389" s="271"/>
      <c r="J389" s="271"/>
      <c r="K389" s="271"/>
      <c r="L389" s="271"/>
      <c r="M389" s="271"/>
      <c r="N389" s="271"/>
      <c r="O389" s="271"/>
      <c r="P389" s="271"/>
      <c r="Q389" s="271"/>
      <c r="R389" s="271"/>
      <c r="S389" s="271"/>
      <c r="T389" s="271"/>
      <c r="U389" s="271"/>
      <c r="V389" s="271"/>
      <c r="W389" s="271"/>
      <c r="X389" s="271"/>
      <c r="Y389" s="271"/>
      <c r="Z389" s="271"/>
    </row>
    <row r="390">
      <c r="A390" s="271"/>
      <c r="B390" s="271"/>
      <c r="C390" s="271"/>
      <c r="D390" s="271"/>
      <c r="E390" s="271"/>
      <c r="F390" s="271"/>
      <c r="G390" s="271"/>
      <c r="H390" s="271"/>
      <c r="I390" s="271"/>
      <c r="J390" s="271"/>
      <c r="K390" s="271"/>
      <c r="L390" s="271"/>
      <c r="M390" s="271"/>
      <c r="N390" s="271"/>
      <c r="O390" s="271"/>
      <c r="P390" s="271"/>
      <c r="Q390" s="271"/>
      <c r="R390" s="271"/>
      <c r="S390" s="271"/>
      <c r="T390" s="271"/>
      <c r="U390" s="271"/>
      <c r="V390" s="271"/>
      <c r="W390" s="271"/>
      <c r="X390" s="271"/>
      <c r="Y390" s="271"/>
      <c r="Z390" s="271"/>
    </row>
    <row r="391">
      <c r="A391" s="271"/>
      <c r="B391" s="271"/>
      <c r="C391" s="271"/>
      <c r="D391" s="271"/>
      <c r="E391" s="271"/>
      <c r="F391" s="271"/>
      <c r="G391" s="271"/>
      <c r="H391" s="271"/>
      <c r="I391" s="271"/>
      <c r="J391" s="271"/>
      <c r="K391" s="271"/>
      <c r="L391" s="271"/>
      <c r="M391" s="271"/>
      <c r="N391" s="271"/>
      <c r="O391" s="271"/>
      <c r="P391" s="271"/>
      <c r="Q391" s="271"/>
      <c r="R391" s="271"/>
      <c r="S391" s="271"/>
      <c r="T391" s="271"/>
      <c r="U391" s="271"/>
      <c r="V391" s="271"/>
      <c r="W391" s="271"/>
      <c r="X391" s="271"/>
      <c r="Y391" s="271"/>
      <c r="Z391" s="271"/>
    </row>
    <row r="392">
      <c r="A392" s="271"/>
      <c r="B392" s="271"/>
      <c r="C392" s="271"/>
      <c r="D392" s="271"/>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row>
    <row r="393">
      <c r="A393" s="271"/>
      <c r="B393" s="271"/>
      <c r="C393" s="271"/>
      <c r="D393" s="271"/>
      <c r="E393" s="271"/>
      <c r="F393" s="271"/>
      <c r="G393" s="271"/>
      <c r="H393" s="271"/>
      <c r="I393" s="271"/>
      <c r="J393" s="271"/>
      <c r="K393" s="271"/>
      <c r="L393" s="271"/>
      <c r="M393" s="271"/>
      <c r="N393" s="271"/>
      <c r="O393" s="271"/>
      <c r="P393" s="271"/>
      <c r="Q393" s="271"/>
      <c r="R393" s="271"/>
      <c r="S393" s="271"/>
      <c r="T393" s="271"/>
      <c r="U393" s="271"/>
      <c r="V393" s="271"/>
      <c r="W393" s="271"/>
      <c r="X393" s="271"/>
      <c r="Y393" s="271"/>
      <c r="Z393" s="271"/>
    </row>
    <row r="394">
      <c r="A394" s="271"/>
      <c r="B394" s="271"/>
      <c r="C394" s="271"/>
      <c r="D394" s="271"/>
      <c r="E394" s="271"/>
      <c r="F394" s="271"/>
      <c r="G394" s="271"/>
      <c r="H394" s="271"/>
      <c r="I394" s="271"/>
      <c r="J394" s="271"/>
      <c r="K394" s="271"/>
      <c r="L394" s="271"/>
      <c r="M394" s="271"/>
      <c r="N394" s="271"/>
      <c r="O394" s="271"/>
      <c r="P394" s="271"/>
      <c r="Q394" s="271"/>
      <c r="R394" s="271"/>
      <c r="S394" s="271"/>
      <c r="T394" s="271"/>
      <c r="U394" s="271"/>
      <c r="V394" s="271"/>
      <c r="W394" s="271"/>
      <c r="X394" s="271"/>
      <c r="Y394" s="271"/>
      <c r="Z394" s="271"/>
    </row>
    <row r="395">
      <c r="A395" s="271"/>
      <c r="B395" s="271"/>
      <c r="C395" s="271"/>
      <c r="D395" s="271"/>
      <c r="E395" s="271"/>
      <c r="F395" s="271"/>
      <c r="G395" s="271"/>
      <c r="H395" s="271"/>
      <c r="I395" s="271"/>
      <c r="J395" s="271"/>
      <c r="K395" s="271"/>
      <c r="L395" s="271"/>
      <c r="M395" s="271"/>
      <c r="N395" s="271"/>
      <c r="O395" s="271"/>
      <c r="P395" s="271"/>
      <c r="Q395" s="271"/>
      <c r="R395" s="271"/>
      <c r="S395" s="271"/>
      <c r="T395" s="271"/>
      <c r="U395" s="271"/>
      <c r="V395" s="271"/>
      <c r="W395" s="271"/>
      <c r="X395" s="271"/>
      <c r="Y395" s="271"/>
      <c r="Z395" s="271"/>
    </row>
    <row r="396">
      <c r="A396" s="271"/>
      <c r="B396" s="271"/>
      <c r="C396" s="271"/>
      <c r="D396" s="271"/>
      <c r="E396" s="271"/>
      <c r="F396" s="271"/>
      <c r="G396" s="271"/>
      <c r="H396" s="271"/>
      <c r="I396" s="271"/>
      <c r="J396" s="271"/>
      <c r="K396" s="271"/>
      <c r="L396" s="271"/>
      <c r="M396" s="271"/>
      <c r="N396" s="271"/>
      <c r="O396" s="271"/>
      <c r="P396" s="271"/>
      <c r="Q396" s="271"/>
      <c r="R396" s="271"/>
      <c r="S396" s="271"/>
      <c r="T396" s="271"/>
      <c r="U396" s="271"/>
      <c r="V396" s="271"/>
      <c r="W396" s="271"/>
      <c r="X396" s="271"/>
      <c r="Y396" s="271"/>
      <c r="Z396" s="271"/>
    </row>
    <row r="397">
      <c r="A397" s="271"/>
      <c r="B397" s="271"/>
      <c r="C397" s="271"/>
      <c r="D397" s="271"/>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row>
    <row r="398">
      <c r="A398" s="271"/>
      <c r="B398" s="271"/>
      <c r="C398" s="271"/>
      <c r="D398" s="271"/>
      <c r="E398" s="271"/>
      <c r="F398" s="271"/>
      <c r="G398" s="271"/>
      <c r="H398" s="271"/>
      <c r="I398" s="271"/>
      <c r="J398" s="271"/>
      <c r="K398" s="271"/>
      <c r="L398" s="271"/>
      <c r="M398" s="271"/>
      <c r="N398" s="271"/>
      <c r="O398" s="271"/>
      <c r="P398" s="271"/>
      <c r="Q398" s="271"/>
      <c r="R398" s="271"/>
      <c r="S398" s="271"/>
      <c r="T398" s="271"/>
      <c r="U398" s="271"/>
      <c r="V398" s="271"/>
      <c r="W398" s="271"/>
      <c r="X398" s="271"/>
      <c r="Y398" s="271"/>
      <c r="Z398" s="271"/>
    </row>
    <row r="399">
      <c r="A399" s="271"/>
      <c r="B399" s="271"/>
      <c r="C399" s="271"/>
      <c r="D399" s="271"/>
      <c r="E399" s="271"/>
      <c r="F399" s="271"/>
      <c r="G399" s="271"/>
      <c r="H399" s="271"/>
      <c r="I399" s="271"/>
      <c r="J399" s="271"/>
      <c r="K399" s="271"/>
      <c r="L399" s="271"/>
      <c r="M399" s="271"/>
      <c r="N399" s="271"/>
      <c r="O399" s="271"/>
      <c r="P399" s="271"/>
      <c r="Q399" s="271"/>
      <c r="R399" s="271"/>
      <c r="S399" s="271"/>
      <c r="T399" s="271"/>
      <c r="U399" s="271"/>
      <c r="V399" s="271"/>
      <c r="W399" s="271"/>
      <c r="X399" s="271"/>
      <c r="Y399" s="271"/>
      <c r="Z399" s="271"/>
    </row>
    <row r="400">
      <c r="A400" s="271"/>
      <c r="B400" s="271"/>
      <c r="C400" s="271"/>
      <c r="D400" s="271"/>
      <c r="E400" s="271"/>
      <c r="F400" s="271"/>
      <c r="G400" s="271"/>
      <c r="H400" s="271"/>
      <c r="I400" s="271"/>
      <c r="J400" s="271"/>
      <c r="K400" s="271"/>
      <c r="L400" s="271"/>
      <c r="M400" s="271"/>
      <c r="N400" s="271"/>
      <c r="O400" s="271"/>
      <c r="P400" s="271"/>
      <c r="Q400" s="271"/>
      <c r="R400" s="271"/>
      <c r="S400" s="271"/>
      <c r="T400" s="271"/>
      <c r="U400" s="271"/>
      <c r="V400" s="271"/>
      <c r="W400" s="271"/>
      <c r="X400" s="271"/>
      <c r="Y400" s="271"/>
      <c r="Z400" s="271"/>
    </row>
    <row r="401">
      <c r="A401" s="271"/>
      <c r="B401" s="271"/>
      <c r="C401" s="271"/>
      <c r="D401" s="271"/>
      <c r="E401" s="271"/>
      <c r="F401" s="271"/>
      <c r="G401" s="271"/>
      <c r="H401" s="271"/>
      <c r="I401" s="271"/>
      <c r="J401" s="271"/>
      <c r="K401" s="271"/>
      <c r="L401" s="271"/>
      <c r="M401" s="271"/>
      <c r="N401" s="271"/>
      <c r="O401" s="271"/>
      <c r="P401" s="271"/>
      <c r="Q401" s="271"/>
      <c r="R401" s="271"/>
      <c r="S401" s="271"/>
      <c r="T401" s="271"/>
      <c r="U401" s="271"/>
      <c r="V401" s="271"/>
      <c r="W401" s="271"/>
      <c r="X401" s="271"/>
      <c r="Y401" s="271"/>
      <c r="Z401" s="271"/>
    </row>
    <row r="402">
      <c r="A402" s="271"/>
      <c r="B402" s="271"/>
      <c r="C402" s="271"/>
      <c r="D402" s="271"/>
      <c r="E402" s="271"/>
      <c r="F402" s="271"/>
      <c r="G402" s="271"/>
      <c r="H402" s="271"/>
      <c r="I402" s="271"/>
      <c r="J402" s="271"/>
      <c r="K402" s="271"/>
      <c r="L402" s="271"/>
      <c r="M402" s="271"/>
      <c r="N402" s="271"/>
      <c r="O402" s="271"/>
      <c r="P402" s="271"/>
      <c r="Q402" s="271"/>
      <c r="R402" s="271"/>
      <c r="S402" s="271"/>
      <c r="T402" s="271"/>
      <c r="U402" s="271"/>
      <c r="V402" s="271"/>
      <c r="W402" s="271"/>
      <c r="X402" s="271"/>
      <c r="Y402" s="271"/>
      <c r="Z402" s="271"/>
    </row>
    <row r="403">
      <c r="A403" s="271"/>
      <c r="B403" s="271"/>
      <c r="C403" s="271"/>
      <c r="D403" s="271"/>
      <c r="E403" s="271"/>
      <c r="F403" s="271"/>
      <c r="G403" s="271"/>
      <c r="H403" s="271"/>
      <c r="I403" s="271"/>
      <c r="J403" s="271"/>
      <c r="K403" s="271"/>
      <c r="L403" s="271"/>
      <c r="M403" s="271"/>
      <c r="N403" s="271"/>
      <c r="O403" s="271"/>
      <c r="P403" s="271"/>
      <c r="Q403" s="271"/>
      <c r="R403" s="271"/>
      <c r="S403" s="271"/>
      <c r="T403" s="271"/>
      <c r="U403" s="271"/>
      <c r="V403" s="271"/>
      <c r="W403" s="271"/>
      <c r="X403" s="271"/>
      <c r="Y403" s="271"/>
      <c r="Z403" s="271"/>
    </row>
    <row r="404">
      <c r="A404" s="271"/>
      <c r="B404" s="271"/>
      <c r="C404" s="271"/>
      <c r="D404" s="271"/>
      <c r="E404" s="271"/>
      <c r="F404" s="271"/>
      <c r="G404" s="271"/>
      <c r="H404" s="271"/>
      <c r="I404" s="271"/>
      <c r="J404" s="271"/>
      <c r="K404" s="271"/>
      <c r="L404" s="271"/>
      <c r="M404" s="271"/>
      <c r="N404" s="271"/>
      <c r="O404" s="271"/>
      <c r="P404" s="271"/>
      <c r="Q404" s="271"/>
      <c r="R404" s="271"/>
      <c r="S404" s="271"/>
      <c r="T404" s="271"/>
      <c r="U404" s="271"/>
      <c r="V404" s="271"/>
      <c r="W404" s="271"/>
      <c r="X404" s="271"/>
      <c r="Y404" s="271"/>
      <c r="Z404" s="271"/>
    </row>
    <row r="405">
      <c r="A405" s="271"/>
      <c r="B405" s="271"/>
      <c r="C405" s="271"/>
      <c r="D405" s="271"/>
      <c r="E405" s="271"/>
      <c r="F405" s="271"/>
      <c r="G405" s="271"/>
      <c r="H405" s="271"/>
      <c r="I405" s="271"/>
      <c r="J405" s="271"/>
      <c r="K405" s="271"/>
      <c r="L405" s="271"/>
      <c r="M405" s="271"/>
      <c r="N405" s="271"/>
      <c r="O405" s="271"/>
      <c r="P405" s="271"/>
      <c r="Q405" s="271"/>
      <c r="R405" s="271"/>
      <c r="S405" s="271"/>
      <c r="T405" s="271"/>
      <c r="U405" s="271"/>
      <c r="V405" s="271"/>
      <c r="W405" s="271"/>
      <c r="X405" s="271"/>
      <c r="Y405" s="271"/>
      <c r="Z405" s="271"/>
    </row>
    <row r="406">
      <c r="A406" s="271"/>
      <c r="B406" s="271"/>
      <c r="C406" s="271"/>
      <c r="D406" s="271"/>
      <c r="E406" s="271"/>
      <c r="F406" s="271"/>
      <c r="G406" s="271"/>
      <c r="H406" s="271"/>
      <c r="I406" s="271"/>
      <c r="J406" s="271"/>
      <c r="K406" s="271"/>
      <c r="L406" s="271"/>
      <c r="M406" s="271"/>
      <c r="N406" s="271"/>
      <c r="O406" s="271"/>
      <c r="P406" s="271"/>
      <c r="Q406" s="271"/>
      <c r="R406" s="271"/>
      <c r="S406" s="271"/>
      <c r="T406" s="271"/>
      <c r="U406" s="271"/>
      <c r="V406" s="271"/>
      <c r="W406" s="271"/>
      <c r="X406" s="271"/>
      <c r="Y406" s="271"/>
      <c r="Z406" s="271"/>
    </row>
    <row r="407">
      <c r="A407" s="271"/>
      <c r="B407" s="271"/>
      <c r="C407" s="271"/>
      <c r="D407" s="271"/>
      <c r="E407" s="271"/>
      <c r="F407" s="271"/>
      <c r="G407" s="271"/>
      <c r="H407" s="271"/>
      <c r="I407" s="271"/>
      <c r="J407" s="271"/>
      <c r="K407" s="271"/>
      <c r="L407" s="271"/>
      <c r="M407" s="271"/>
      <c r="N407" s="271"/>
      <c r="O407" s="271"/>
      <c r="P407" s="271"/>
      <c r="Q407" s="271"/>
      <c r="R407" s="271"/>
      <c r="S407" s="271"/>
      <c r="T407" s="271"/>
      <c r="U407" s="271"/>
      <c r="V407" s="271"/>
      <c r="W407" s="271"/>
      <c r="X407" s="271"/>
      <c r="Y407" s="271"/>
      <c r="Z407" s="271"/>
    </row>
    <row r="408">
      <c r="A408" s="271"/>
      <c r="B408" s="271"/>
      <c r="C408" s="271"/>
      <c r="D408" s="271"/>
      <c r="E408" s="271"/>
      <c r="F408" s="271"/>
      <c r="G408" s="271"/>
      <c r="H408" s="271"/>
      <c r="I408" s="271"/>
      <c r="J408" s="271"/>
      <c r="K408" s="271"/>
      <c r="L408" s="271"/>
      <c r="M408" s="271"/>
      <c r="N408" s="271"/>
      <c r="O408" s="271"/>
      <c r="P408" s="271"/>
      <c r="Q408" s="271"/>
      <c r="R408" s="271"/>
      <c r="S408" s="271"/>
      <c r="T408" s="271"/>
      <c r="U408" s="271"/>
      <c r="V408" s="271"/>
      <c r="W408" s="271"/>
      <c r="X408" s="271"/>
      <c r="Y408" s="271"/>
      <c r="Z408" s="271"/>
    </row>
    <row r="409">
      <c r="A409" s="271"/>
      <c r="B409" s="271"/>
      <c r="C409" s="271"/>
      <c r="D409" s="271"/>
      <c r="E409" s="271"/>
      <c r="F409" s="271"/>
      <c r="G409" s="271"/>
      <c r="H409" s="271"/>
      <c r="I409" s="271"/>
      <c r="J409" s="271"/>
      <c r="K409" s="271"/>
      <c r="L409" s="271"/>
      <c r="M409" s="271"/>
      <c r="N409" s="271"/>
      <c r="O409" s="271"/>
      <c r="P409" s="271"/>
      <c r="Q409" s="271"/>
      <c r="R409" s="271"/>
      <c r="S409" s="271"/>
      <c r="T409" s="271"/>
      <c r="U409" s="271"/>
      <c r="V409" s="271"/>
      <c r="W409" s="271"/>
      <c r="X409" s="271"/>
      <c r="Y409" s="271"/>
      <c r="Z409" s="271"/>
    </row>
    <row r="410">
      <c r="A410" s="271"/>
      <c r="B410" s="271"/>
      <c r="C410" s="271"/>
      <c r="D410" s="271"/>
      <c r="E410" s="271"/>
      <c r="F410" s="271"/>
      <c r="G410" s="271"/>
      <c r="H410" s="271"/>
      <c r="I410" s="271"/>
      <c r="J410" s="271"/>
      <c r="K410" s="271"/>
      <c r="L410" s="271"/>
      <c r="M410" s="271"/>
      <c r="N410" s="271"/>
      <c r="O410" s="271"/>
      <c r="P410" s="271"/>
      <c r="Q410" s="271"/>
      <c r="R410" s="271"/>
      <c r="S410" s="271"/>
      <c r="T410" s="271"/>
      <c r="U410" s="271"/>
      <c r="V410" s="271"/>
      <c r="W410" s="271"/>
      <c r="X410" s="271"/>
      <c r="Y410" s="271"/>
      <c r="Z410" s="271"/>
    </row>
    <row r="411">
      <c r="A411" s="271"/>
      <c r="B411" s="271"/>
      <c r="C411" s="271"/>
      <c r="D411" s="271"/>
      <c r="E411" s="271"/>
      <c r="F411" s="271"/>
      <c r="G411" s="271"/>
      <c r="H411" s="271"/>
      <c r="I411" s="271"/>
      <c r="J411" s="271"/>
      <c r="K411" s="271"/>
      <c r="L411" s="271"/>
      <c r="M411" s="271"/>
      <c r="N411" s="271"/>
      <c r="O411" s="271"/>
      <c r="P411" s="271"/>
      <c r="Q411" s="271"/>
      <c r="R411" s="271"/>
      <c r="S411" s="271"/>
      <c r="T411" s="271"/>
      <c r="U411" s="271"/>
      <c r="V411" s="271"/>
      <c r="W411" s="271"/>
      <c r="X411" s="271"/>
      <c r="Y411" s="271"/>
      <c r="Z411" s="271"/>
    </row>
    <row r="412">
      <c r="A412" s="271"/>
      <c r="B412" s="271"/>
      <c r="C412" s="271"/>
      <c r="D412" s="271"/>
      <c r="E412" s="271"/>
      <c r="F412" s="271"/>
      <c r="G412" s="271"/>
      <c r="H412" s="271"/>
      <c r="I412" s="271"/>
      <c r="J412" s="271"/>
      <c r="K412" s="271"/>
      <c r="L412" s="271"/>
      <c r="M412" s="271"/>
      <c r="N412" s="271"/>
      <c r="O412" s="271"/>
      <c r="P412" s="271"/>
      <c r="Q412" s="271"/>
      <c r="R412" s="271"/>
      <c r="S412" s="271"/>
      <c r="T412" s="271"/>
      <c r="U412" s="271"/>
      <c r="V412" s="271"/>
      <c r="W412" s="271"/>
      <c r="X412" s="271"/>
      <c r="Y412" s="271"/>
      <c r="Z412" s="271"/>
    </row>
    <row r="413">
      <c r="A413" s="271"/>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row>
    <row r="414">
      <c r="A414" s="271"/>
      <c r="B414" s="271"/>
      <c r="C414" s="271"/>
      <c r="D414" s="271"/>
      <c r="E414" s="271"/>
      <c r="F414" s="271"/>
      <c r="G414" s="271"/>
      <c r="H414" s="271"/>
      <c r="I414" s="271"/>
      <c r="J414" s="271"/>
      <c r="K414" s="271"/>
      <c r="L414" s="271"/>
      <c r="M414" s="271"/>
      <c r="N414" s="271"/>
      <c r="O414" s="271"/>
      <c r="P414" s="271"/>
      <c r="Q414" s="271"/>
      <c r="R414" s="271"/>
      <c r="S414" s="271"/>
      <c r="T414" s="271"/>
      <c r="U414" s="271"/>
      <c r="V414" s="271"/>
      <c r="W414" s="271"/>
      <c r="X414" s="271"/>
      <c r="Y414" s="271"/>
      <c r="Z414" s="271"/>
    </row>
    <row r="415">
      <c r="A415" s="271"/>
      <c r="B415" s="271"/>
      <c r="C415" s="271"/>
      <c r="D415" s="271"/>
      <c r="E415" s="271"/>
      <c r="F415" s="271"/>
      <c r="G415" s="271"/>
      <c r="H415" s="271"/>
      <c r="I415" s="271"/>
      <c r="J415" s="271"/>
      <c r="K415" s="271"/>
      <c r="L415" s="271"/>
      <c r="M415" s="271"/>
      <c r="N415" s="271"/>
      <c r="O415" s="271"/>
      <c r="P415" s="271"/>
      <c r="Q415" s="271"/>
      <c r="R415" s="271"/>
      <c r="S415" s="271"/>
      <c r="T415" s="271"/>
      <c r="U415" s="271"/>
      <c r="V415" s="271"/>
      <c r="W415" s="271"/>
      <c r="X415" s="271"/>
      <c r="Y415" s="271"/>
      <c r="Z415" s="271"/>
    </row>
    <row r="416">
      <c r="A416" s="271"/>
      <c r="B416" s="271"/>
      <c r="C416" s="271"/>
      <c r="D416" s="271"/>
      <c r="E416" s="271"/>
      <c r="F416" s="271"/>
      <c r="G416" s="271"/>
      <c r="H416" s="271"/>
      <c r="I416" s="271"/>
      <c r="J416" s="271"/>
      <c r="K416" s="271"/>
      <c r="L416" s="271"/>
      <c r="M416" s="271"/>
      <c r="N416" s="271"/>
      <c r="O416" s="271"/>
      <c r="P416" s="271"/>
      <c r="Q416" s="271"/>
      <c r="R416" s="271"/>
      <c r="S416" s="271"/>
      <c r="T416" s="271"/>
      <c r="U416" s="271"/>
      <c r="V416" s="271"/>
      <c r="W416" s="271"/>
      <c r="X416" s="271"/>
      <c r="Y416" s="271"/>
      <c r="Z416" s="271"/>
    </row>
    <row r="417">
      <c r="A417" s="271"/>
      <c r="B417" s="271"/>
      <c r="C417" s="271"/>
      <c r="D417" s="271"/>
      <c r="E417" s="271"/>
      <c r="F417" s="271"/>
      <c r="G417" s="271"/>
      <c r="H417" s="271"/>
      <c r="I417" s="271"/>
      <c r="J417" s="271"/>
      <c r="K417" s="271"/>
      <c r="L417" s="271"/>
      <c r="M417" s="271"/>
      <c r="N417" s="271"/>
      <c r="O417" s="271"/>
      <c r="P417" s="271"/>
      <c r="Q417" s="271"/>
      <c r="R417" s="271"/>
      <c r="S417" s="271"/>
      <c r="T417" s="271"/>
      <c r="U417" s="271"/>
      <c r="V417" s="271"/>
      <c r="W417" s="271"/>
      <c r="X417" s="271"/>
      <c r="Y417" s="271"/>
      <c r="Z417" s="271"/>
    </row>
    <row r="418">
      <c r="A418" s="271"/>
      <c r="B418" s="271"/>
      <c r="C418" s="271"/>
      <c r="D418" s="271"/>
      <c r="E418" s="271"/>
      <c r="F418" s="271"/>
      <c r="G418" s="271"/>
      <c r="H418" s="271"/>
      <c r="I418" s="271"/>
      <c r="J418" s="271"/>
      <c r="K418" s="271"/>
      <c r="L418" s="271"/>
      <c r="M418" s="271"/>
      <c r="N418" s="271"/>
      <c r="O418" s="271"/>
      <c r="P418" s="271"/>
      <c r="Q418" s="271"/>
      <c r="R418" s="271"/>
      <c r="S418" s="271"/>
      <c r="T418" s="271"/>
      <c r="U418" s="271"/>
      <c r="V418" s="271"/>
      <c r="W418" s="271"/>
      <c r="X418" s="271"/>
      <c r="Y418" s="271"/>
      <c r="Z418" s="271"/>
    </row>
    <row r="419">
      <c r="A419" s="271"/>
      <c r="B419" s="271"/>
      <c r="C419" s="271"/>
      <c r="D419" s="271"/>
      <c r="E419" s="271"/>
      <c r="F419" s="271"/>
      <c r="G419" s="271"/>
      <c r="H419" s="271"/>
      <c r="I419" s="271"/>
      <c r="J419" s="271"/>
      <c r="K419" s="271"/>
      <c r="L419" s="271"/>
      <c r="M419" s="271"/>
      <c r="N419" s="271"/>
      <c r="O419" s="271"/>
      <c r="P419" s="271"/>
      <c r="Q419" s="271"/>
      <c r="R419" s="271"/>
      <c r="S419" s="271"/>
      <c r="T419" s="271"/>
      <c r="U419" s="271"/>
      <c r="V419" s="271"/>
      <c r="W419" s="271"/>
      <c r="X419" s="271"/>
      <c r="Y419" s="271"/>
      <c r="Z419" s="271"/>
    </row>
    <row r="420">
      <c r="A420" s="271"/>
      <c r="B420" s="271"/>
      <c r="C420" s="271"/>
      <c r="D420" s="271"/>
      <c r="E420" s="271"/>
      <c r="F420" s="271"/>
      <c r="G420" s="271"/>
      <c r="H420" s="271"/>
      <c r="I420" s="271"/>
      <c r="J420" s="271"/>
      <c r="K420" s="271"/>
      <c r="L420" s="271"/>
      <c r="M420" s="271"/>
      <c r="N420" s="271"/>
      <c r="O420" s="271"/>
      <c r="P420" s="271"/>
      <c r="Q420" s="271"/>
      <c r="R420" s="271"/>
      <c r="S420" s="271"/>
      <c r="T420" s="271"/>
      <c r="U420" s="271"/>
      <c r="V420" s="271"/>
      <c r="W420" s="271"/>
      <c r="X420" s="271"/>
      <c r="Y420" s="271"/>
      <c r="Z420" s="271"/>
    </row>
    <row r="421">
      <c r="A421" s="271"/>
      <c r="B421" s="271"/>
      <c r="C421" s="271"/>
      <c r="D421" s="271"/>
      <c r="E421" s="271"/>
      <c r="F421" s="271"/>
      <c r="G421" s="271"/>
      <c r="H421" s="271"/>
      <c r="I421" s="271"/>
      <c r="J421" s="271"/>
      <c r="K421" s="271"/>
      <c r="L421" s="271"/>
      <c r="M421" s="271"/>
      <c r="N421" s="271"/>
      <c r="O421" s="271"/>
      <c r="P421" s="271"/>
      <c r="Q421" s="271"/>
      <c r="R421" s="271"/>
      <c r="S421" s="271"/>
      <c r="T421" s="271"/>
      <c r="U421" s="271"/>
      <c r="V421" s="271"/>
      <c r="W421" s="271"/>
      <c r="X421" s="271"/>
      <c r="Y421" s="271"/>
      <c r="Z421" s="271"/>
    </row>
    <row r="422">
      <c r="A422" s="271"/>
      <c r="B422" s="271"/>
      <c r="C422" s="271"/>
      <c r="D422" s="271"/>
      <c r="E422" s="271"/>
      <c r="F422" s="271"/>
      <c r="G422" s="271"/>
      <c r="H422" s="271"/>
      <c r="I422" s="271"/>
      <c r="J422" s="271"/>
      <c r="K422" s="271"/>
      <c r="L422" s="271"/>
      <c r="M422" s="271"/>
      <c r="N422" s="271"/>
      <c r="O422" s="271"/>
      <c r="P422" s="271"/>
      <c r="Q422" s="271"/>
      <c r="R422" s="271"/>
      <c r="S422" s="271"/>
      <c r="T422" s="271"/>
      <c r="U422" s="271"/>
      <c r="V422" s="271"/>
      <c r="W422" s="271"/>
      <c r="X422" s="271"/>
      <c r="Y422" s="271"/>
      <c r="Z422" s="271"/>
    </row>
    <row r="423">
      <c r="A423" s="271"/>
      <c r="B423" s="271"/>
      <c r="C423" s="271"/>
      <c r="D423" s="271"/>
      <c r="E423" s="271"/>
      <c r="F423" s="271"/>
      <c r="G423" s="271"/>
      <c r="H423" s="271"/>
      <c r="I423" s="271"/>
      <c r="J423" s="271"/>
      <c r="K423" s="271"/>
      <c r="L423" s="271"/>
      <c r="M423" s="271"/>
      <c r="N423" s="271"/>
      <c r="O423" s="271"/>
      <c r="P423" s="271"/>
      <c r="Q423" s="271"/>
      <c r="R423" s="271"/>
      <c r="S423" s="271"/>
      <c r="T423" s="271"/>
      <c r="U423" s="271"/>
      <c r="V423" s="271"/>
      <c r="W423" s="271"/>
      <c r="X423" s="271"/>
      <c r="Y423" s="271"/>
      <c r="Z423" s="271"/>
    </row>
    <row r="424">
      <c r="A424" s="271"/>
      <c r="B424" s="271"/>
      <c r="C424" s="271"/>
      <c r="D424" s="271"/>
      <c r="E424" s="271"/>
      <c r="F424" s="271"/>
      <c r="G424" s="271"/>
      <c r="H424" s="271"/>
      <c r="I424" s="271"/>
      <c r="J424" s="271"/>
      <c r="K424" s="271"/>
      <c r="L424" s="271"/>
      <c r="M424" s="271"/>
      <c r="N424" s="271"/>
      <c r="O424" s="271"/>
      <c r="P424" s="271"/>
      <c r="Q424" s="271"/>
      <c r="R424" s="271"/>
      <c r="S424" s="271"/>
      <c r="T424" s="271"/>
      <c r="U424" s="271"/>
      <c r="V424" s="271"/>
      <c r="W424" s="271"/>
      <c r="X424" s="271"/>
      <c r="Y424" s="271"/>
      <c r="Z424" s="271"/>
    </row>
    <row r="425">
      <c r="A425" s="271"/>
      <c r="B425" s="271"/>
      <c r="C425" s="271"/>
      <c r="D425" s="271"/>
      <c r="E425" s="271"/>
      <c r="F425" s="271"/>
      <c r="G425" s="271"/>
      <c r="H425" s="271"/>
      <c r="I425" s="271"/>
      <c r="J425" s="271"/>
      <c r="K425" s="271"/>
      <c r="L425" s="271"/>
      <c r="M425" s="271"/>
      <c r="N425" s="271"/>
      <c r="O425" s="271"/>
      <c r="P425" s="271"/>
      <c r="Q425" s="271"/>
      <c r="R425" s="271"/>
      <c r="S425" s="271"/>
      <c r="T425" s="271"/>
      <c r="U425" s="271"/>
      <c r="V425" s="271"/>
      <c r="W425" s="271"/>
      <c r="X425" s="271"/>
      <c r="Y425" s="271"/>
      <c r="Z425" s="271"/>
    </row>
    <row r="426">
      <c r="A426" s="271"/>
      <c r="B426" s="271"/>
      <c r="C426" s="271"/>
      <c r="D426" s="271"/>
      <c r="E426" s="271"/>
      <c r="F426" s="271"/>
      <c r="G426" s="271"/>
      <c r="H426" s="271"/>
      <c r="I426" s="271"/>
      <c r="J426" s="271"/>
      <c r="K426" s="271"/>
      <c r="L426" s="271"/>
      <c r="M426" s="271"/>
      <c r="N426" s="271"/>
      <c r="O426" s="271"/>
      <c r="P426" s="271"/>
      <c r="Q426" s="271"/>
      <c r="R426" s="271"/>
      <c r="S426" s="271"/>
      <c r="T426" s="271"/>
      <c r="U426" s="271"/>
      <c r="V426" s="271"/>
      <c r="W426" s="271"/>
      <c r="X426" s="271"/>
      <c r="Y426" s="271"/>
      <c r="Z426" s="271"/>
    </row>
    <row r="427">
      <c r="A427" s="271"/>
      <c r="B427" s="271"/>
      <c r="C427" s="271"/>
      <c r="D427" s="271"/>
      <c r="E427" s="271"/>
      <c r="F427" s="271"/>
      <c r="G427" s="271"/>
      <c r="H427" s="271"/>
      <c r="I427" s="271"/>
      <c r="J427" s="271"/>
      <c r="K427" s="271"/>
      <c r="L427" s="271"/>
      <c r="M427" s="271"/>
      <c r="N427" s="271"/>
      <c r="O427" s="271"/>
      <c r="P427" s="271"/>
      <c r="Q427" s="271"/>
      <c r="R427" s="271"/>
      <c r="S427" s="271"/>
      <c r="T427" s="271"/>
      <c r="U427" s="271"/>
      <c r="V427" s="271"/>
      <c r="W427" s="271"/>
      <c r="X427" s="271"/>
      <c r="Y427" s="271"/>
      <c r="Z427" s="271"/>
    </row>
    <row r="428">
      <c r="A428" s="271"/>
      <c r="B428" s="271"/>
      <c r="C428" s="271"/>
      <c r="D428" s="271"/>
      <c r="E428" s="271"/>
      <c r="F428" s="271"/>
      <c r="G428" s="271"/>
      <c r="H428" s="271"/>
      <c r="I428" s="271"/>
      <c r="J428" s="271"/>
      <c r="K428" s="271"/>
      <c r="L428" s="271"/>
      <c r="M428" s="271"/>
      <c r="N428" s="271"/>
      <c r="O428" s="271"/>
      <c r="P428" s="271"/>
      <c r="Q428" s="271"/>
      <c r="R428" s="271"/>
      <c r="S428" s="271"/>
      <c r="T428" s="271"/>
      <c r="U428" s="271"/>
      <c r="V428" s="271"/>
      <c r="W428" s="271"/>
      <c r="X428" s="271"/>
      <c r="Y428" s="271"/>
      <c r="Z428" s="271"/>
    </row>
    <row r="429">
      <c r="A429" s="271"/>
      <c r="B429" s="271"/>
      <c r="C429" s="271"/>
      <c r="D429" s="271"/>
      <c r="E429" s="271"/>
      <c r="F429" s="271"/>
      <c r="G429" s="271"/>
      <c r="H429" s="271"/>
      <c r="I429" s="271"/>
      <c r="J429" s="271"/>
      <c r="K429" s="271"/>
      <c r="L429" s="271"/>
      <c r="M429" s="271"/>
      <c r="N429" s="271"/>
      <c r="O429" s="271"/>
      <c r="P429" s="271"/>
      <c r="Q429" s="271"/>
      <c r="R429" s="271"/>
      <c r="S429" s="271"/>
      <c r="T429" s="271"/>
      <c r="U429" s="271"/>
      <c r="V429" s="271"/>
      <c r="W429" s="271"/>
      <c r="X429" s="271"/>
      <c r="Y429" s="271"/>
      <c r="Z429" s="271"/>
    </row>
    <row r="430">
      <c r="A430" s="271"/>
      <c r="B430" s="271"/>
      <c r="C430" s="271"/>
      <c r="D430" s="271"/>
      <c r="E430" s="271"/>
      <c r="F430" s="271"/>
      <c r="G430" s="271"/>
      <c r="H430" s="271"/>
      <c r="I430" s="271"/>
      <c r="J430" s="271"/>
      <c r="K430" s="271"/>
      <c r="L430" s="271"/>
      <c r="M430" s="271"/>
      <c r="N430" s="271"/>
      <c r="O430" s="271"/>
      <c r="P430" s="271"/>
      <c r="Q430" s="271"/>
      <c r="R430" s="271"/>
      <c r="S430" s="271"/>
      <c r="T430" s="271"/>
      <c r="U430" s="271"/>
      <c r="V430" s="271"/>
      <c r="W430" s="271"/>
      <c r="X430" s="271"/>
      <c r="Y430" s="271"/>
      <c r="Z430" s="271"/>
    </row>
    <row r="431">
      <c r="A431" s="271"/>
      <c r="B431" s="271"/>
      <c r="C431" s="271"/>
      <c r="D431" s="271"/>
      <c r="E431" s="271"/>
      <c r="F431" s="271"/>
      <c r="G431" s="271"/>
      <c r="H431" s="271"/>
      <c r="I431" s="271"/>
      <c r="J431" s="271"/>
      <c r="K431" s="271"/>
      <c r="L431" s="271"/>
      <c r="M431" s="271"/>
      <c r="N431" s="271"/>
      <c r="O431" s="271"/>
      <c r="P431" s="271"/>
      <c r="Q431" s="271"/>
      <c r="R431" s="271"/>
      <c r="S431" s="271"/>
      <c r="T431" s="271"/>
      <c r="U431" s="271"/>
      <c r="V431" s="271"/>
      <c r="W431" s="271"/>
      <c r="X431" s="271"/>
      <c r="Y431" s="271"/>
      <c r="Z431" s="271"/>
    </row>
    <row r="432">
      <c r="A432" s="271"/>
      <c r="B432" s="271"/>
      <c r="C432" s="271"/>
      <c r="D432" s="271"/>
      <c r="E432" s="271"/>
      <c r="F432" s="271"/>
      <c r="G432" s="271"/>
      <c r="H432" s="271"/>
      <c r="I432" s="271"/>
      <c r="J432" s="271"/>
      <c r="K432" s="271"/>
      <c r="L432" s="271"/>
      <c r="M432" s="271"/>
      <c r="N432" s="271"/>
      <c r="O432" s="271"/>
      <c r="P432" s="271"/>
      <c r="Q432" s="271"/>
      <c r="R432" s="271"/>
      <c r="S432" s="271"/>
      <c r="T432" s="271"/>
      <c r="U432" s="271"/>
      <c r="V432" s="271"/>
      <c r="W432" s="271"/>
      <c r="X432" s="271"/>
      <c r="Y432" s="271"/>
      <c r="Z432" s="271"/>
    </row>
    <row r="433">
      <c r="A433" s="271"/>
      <c r="B433" s="271"/>
      <c r="C433" s="271"/>
      <c r="D433" s="271"/>
      <c r="E433" s="271"/>
      <c r="F433" s="271"/>
      <c r="G433" s="271"/>
      <c r="H433" s="271"/>
      <c r="I433" s="271"/>
      <c r="J433" s="271"/>
      <c r="K433" s="271"/>
      <c r="L433" s="271"/>
      <c r="M433" s="271"/>
      <c r="N433" s="271"/>
      <c r="O433" s="271"/>
      <c r="P433" s="271"/>
      <c r="Q433" s="271"/>
      <c r="R433" s="271"/>
      <c r="S433" s="271"/>
      <c r="T433" s="271"/>
      <c r="U433" s="271"/>
      <c r="V433" s="271"/>
      <c r="W433" s="271"/>
      <c r="X433" s="271"/>
      <c r="Y433" s="271"/>
      <c r="Z433" s="271"/>
    </row>
    <row r="434">
      <c r="A434" s="271"/>
      <c r="B434" s="271"/>
      <c r="C434" s="271"/>
      <c r="D434" s="271"/>
      <c r="E434" s="271"/>
      <c r="F434" s="271"/>
      <c r="G434" s="271"/>
      <c r="H434" s="271"/>
      <c r="I434" s="271"/>
      <c r="J434" s="271"/>
      <c r="K434" s="271"/>
      <c r="L434" s="271"/>
      <c r="M434" s="271"/>
      <c r="N434" s="271"/>
      <c r="O434" s="271"/>
      <c r="P434" s="271"/>
      <c r="Q434" s="271"/>
      <c r="R434" s="271"/>
      <c r="S434" s="271"/>
      <c r="T434" s="271"/>
      <c r="U434" s="271"/>
      <c r="V434" s="271"/>
      <c r="W434" s="271"/>
      <c r="X434" s="271"/>
      <c r="Y434" s="271"/>
      <c r="Z434" s="271"/>
    </row>
    <row r="435">
      <c r="A435" s="271"/>
      <c r="B435" s="271"/>
      <c r="C435" s="271"/>
      <c r="D435" s="271"/>
      <c r="E435" s="271"/>
      <c r="F435" s="271"/>
      <c r="G435" s="271"/>
      <c r="H435" s="271"/>
      <c r="I435" s="271"/>
      <c r="J435" s="271"/>
      <c r="K435" s="271"/>
      <c r="L435" s="271"/>
      <c r="M435" s="271"/>
      <c r="N435" s="271"/>
      <c r="O435" s="271"/>
      <c r="P435" s="271"/>
      <c r="Q435" s="271"/>
      <c r="R435" s="271"/>
      <c r="S435" s="271"/>
      <c r="T435" s="271"/>
      <c r="U435" s="271"/>
      <c r="V435" s="271"/>
      <c r="W435" s="271"/>
      <c r="X435" s="271"/>
      <c r="Y435" s="271"/>
      <c r="Z435" s="271"/>
    </row>
    <row r="436">
      <c r="A436" s="271"/>
      <c r="B436" s="271"/>
      <c r="C436" s="271"/>
      <c r="D436" s="271"/>
      <c r="E436" s="271"/>
      <c r="F436" s="271"/>
      <c r="G436" s="271"/>
      <c r="H436" s="271"/>
      <c r="I436" s="271"/>
      <c r="J436" s="271"/>
      <c r="K436" s="271"/>
      <c r="L436" s="271"/>
      <c r="M436" s="271"/>
      <c r="N436" s="271"/>
      <c r="O436" s="271"/>
      <c r="P436" s="271"/>
      <c r="Q436" s="271"/>
      <c r="R436" s="271"/>
      <c r="S436" s="271"/>
      <c r="T436" s="271"/>
      <c r="U436" s="271"/>
      <c r="V436" s="271"/>
      <c r="W436" s="271"/>
      <c r="X436" s="271"/>
      <c r="Y436" s="271"/>
      <c r="Z436" s="271"/>
    </row>
    <row r="437">
      <c r="A437" s="271"/>
      <c r="B437" s="271"/>
      <c r="C437" s="271"/>
      <c r="D437" s="271"/>
      <c r="E437" s="271"/>
      <c r="F437" s="271"/>
      <c r="G437" s="271"/>
      <c r="H437" s="271"/>
      <c r="I437" s="271"/>
      <c r="J437" s="271"/>
      <c r="K437" s="271"/>
      <c r="L437" s="271"/>
      <c r="M437" s="271"/>
      <c r="N437" s="271"/>
      <c r="O437" s="271"/>
      <c r="P437" s="271"/>
      <c r="Q437" s="271"/>
      <c r="R437" s="271"/>
      <c r="S437" s="271"/>
      <c r="T437" s="271"/>
      <c r="U437" s="271"/>
      <c r="V437" s="271"/>
      <c r="W437" s="271"/>
      <c r="X437" s="271"/>
      <c r="Y437" s="271"/>
      <c r="Z437" s="271"/>
    </row>
    <row r="438">
      <c r="A438" s="271"/>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row>
    <row r="439">
      <c r="A439" s="271"/>
      <c r="B439" s="271"/>
      <c r="C439" s="271"/>
      <c r="D439" s="271"/>
      <c r="E439" s="271"/>
      <c r="F439" s="271"/>
      <c r="G439" s="271"/>
      <c r="H439" s="271"/>
      <c r="I439" s="271"/>
      <c r="J439" s="271"/>
      <c r="K439" s="271"/>
      <c r="L439" s="271"/>
      <c r="M439" s="271"/>
      <c r="N439" s="271"/>
      <c r="O439" s="271"/>
      <c r="P439" s="271"/>
      <c r="Q439" s="271"/>
      <c r="R439" s="271"/>
      <c r="S439" s="271"/>
      <c r="T439" s="271"/>
      <c r="U439" s="271"/>
      <c r="V439" s="271"/>
      <c r="W439" s="271"/>
      <c r="X439" s="271"/>
      <c r="Y439" s="271"/>
      <c r="Z439" s="271"/>
    </row>
    <row r="440">
      <c r="A440" s="271"/>
      <c r="B440" s="271"/>
      <c r="C440" s="271"/>
      <c r="D440" s="271"/>
      <c r="E440" s="271"/>
      <c r="F440" s="271"/>
      <c r="G440" s="271"/>
      <c r="H440" s="271"/>
      <c r="I440" s="271"/>
      <c r="J440" s="271"/>
      <c r="K440" s="271"/>
      <c r="L440" s="271"/>
      <c r="M440" s="271"/>
      <c r="N440" s="271"/>
      <c r="O440" s="271"/>
      <c r="P440" s="271"/>
      <c r="Q440" s="271"/>
      <c r="R440" s="271"/>
      <c r="S440" s="271"/>
      <c r="T440" s="271"/>
      <c r="U440" s="271"/>
      <c r="V440" s="271"/>
      <c r="W440" s="271"/>
      <c r="X440" s="271"/>
      <c r="Y440" s="271"/>
      <c r="Z440" s="271"/>
    </row>
    <row r="441">
      <c r="A441" s="271"/>
      <c r="B441" s="271"/>
      <c r="C441" s="271"/>
      <c r="D441" s="271"/>
      <c r="E441" s="271"/>
      <c r="F441" s="271"/>
      <c r="G441" s="271"/>
      <c r="H441" s="271"/>
      <c r="I441" s="271"/>
      <c r="J441" s="271"/>
      <c r="K441" s="271"/>
      <c r="L441" s="271"/>
      <c r="M441" s="271"/>
      <c r="N441" s="271"/>
      <c r="O441" s="271"/>
      <c r="P441" s="271"/>
      <c r="Q441" s="271"/>
      <c r="R441" s="271"/>
      <c r="S441" s="271"/>
      <c r="T441" s="271"/>
      <c r="U441" s="271"/>
      <c r="V441" s="271"/>
      <c r="W441" s="271"/>
      <c r="X441" s="271"/>
      <c r="Y441" s="271"/>
      <c r="Z441" s="271"/>
    </row>
    <row r="442">
      <c r="A442" s="271"/>
      <c r="B442" s="271"/>
      <c r="C442" s="271"/>
      <c r="D442" s="271"/>
      <c r="E442" s="271"/>
      <c r="F442" s="271"/>
      <c r="G442" s="271"/>
      <c r="H442" s="271"/>
      <c r="I442" s="271"/>
      <c r="J442" s="271"/>
      <c r="K442" s="271"/>
      <c r="L442" s="271"/>
      <c r="M442" s="271"/>
      <c r="N442" s="271"/>
      <c r="O442" s="271"/>
      <c r="P442" s="271"/>
      <c r="Q442" s="271"/>
      <c r="R442" s="271"/>
      <c r="S442" s="271"/>
      <c r="T442" s="271"/>
      <c r="U442" s="271"/>
      <c r="V442" s="271"/>
      <c r="W442" s="271"/>
      <c r="X442" s="271"/>
      <c r="Y442" s="271"/>
      <c r="Z442" s="271"/>
    </row>
    <row r="443">
      <c r="A443" s="271"/>
      <c r="B443" s="271"/>
      <c r="C443" s="271"/>
      <c r="D443" s="271"/>
      <c r="E443" s="271"/>
      <c r="F443" s="271"/>
      <c r="G443" s="271"/>
      <c r="H443" s="271"/>
      <c r="I443" s="271"/>
      <c r="J443" s="271"/>
      <c r="K443" s="271"/>
      <c r="L443" s="271"/>
      <c r="M443" s="271"/>
      <c r="N443" s="271"/>
      <c r="O443" s="271"/>
      <c r="P443" s="271"/>
      <c r="Q443" s="271"/>
      <c r="R443" s="271"/>
      <c r="S443" s="271"/>
      <c r="T443" s="271"/>
      <c r="U443" s="271"/>
      <c r="V443" s="271"/>
      <c r="W443" s="271"/>
      <c r="X443" s="271"/>
      <c r="Y443" s="271"/>
      <c r="Z443" s="271"/>
    </row>
    <row r="444">
      <c r="A444" s="271"/>
      <c r="B444" s="271"/>
      <c r="C444" s="271"/>
      <c r="D444" s="271"/>
      <c r="E444" s="271"/>
      <c r="F444" s="271"/>
      <c r="G444" s="271"/>
      <c r="H444" s="271"/>
      <c r="I444" s="271"/>
      <c r="J444" s="271"/>
      <c r="K444" s="271"/>
      <c r="L444" s="271"/>
      <c r="M444" s="271"/>
      <c r="N444" s="271"/>
      <c r="O444" s="271"/>
      <c r="P444" s="271"/>
      <c r="Q444" s="271"/>
      <c r="R444" s="271"/>
      <c r="S444" s="271"/>
      <c r="T444" s="271"/>
      <c r="U444" s="271"/>
      <c r="V444" s="271"/>
      <c r="W444" s="271"/>
      <c r="X444" s="271"/>
      <c r="Y444" s="271"/>
      <c r="Z444" s="271"/>
    </row>
    <row r="445">
      <c r="A445" s="271"/>
      <c r="B445" s="271"/>
      <c r="C445" s="271"/>
      <c r="D445" s="271"/>
      <c r="E445" s="271"/>
      <c r="F445" s="271"/>
      <c r="G445" s="271"/>
      <c r="H445" s="271"/>
      <c r="I445" s="271"/>
      <c r="J445" s="271"/>
      <c r="K445" s="271"/>
      <c r="L445" s="271"/>
      <c r="M445" s="271"/>
      <c r="N445" s="271"/>
      <c r="O445" s="271"/>
      <c r="P445" s="271"/>
      <c r="Q445" s="271"/>
      <c r="R445" s="271"/>
      <c r="S445" s="271"/>
      <c r="T445" s="271"/>
      <c r="U445" s="271"/>
      <c r="V445" s="271"/>
      <c r="W445" s="271"/>
      <c r="X445" s="271"/>
      <c r="Y445" s="271"/>
      <c r="Z445" s="271"/>
    </row>
    <row r="446">
      <c r="A446" s="271"/>
      <c r="B446" s="271"/>
      <c r="C446" s="271"/>
      <c r="D446" s="271"/>
      <c r="E446" s="271"/>
      <c r="F446" s="271"/>
      <c r="G446" s="271"/>
      <c r="H446" s="271"/>
      <c r="I446" s="271"/>
      <c r="J446" s="271"/>
      <c r="K446" s="271"/>
      <c r="L446" s="271"/>
      <c r="M446" s="271"/>
      <c r="N446" s="271"/>
      <c r="O446" s="271"/>
      <c r="P446" s="271"/>
      <c r="Q446" s="271"/>
      <c r="R446" s="271"/>
      <c r="S446" s="271"/>
      <c r="T446" s="271"/>
      <c r="U446" s="271"/>
      <c r="V446" s="271"/>
      <c r="W446" s="271"/>
      <c r="X446" s="271"/>
      <c r="Y446" s="271"/>
      <c r="Z446" s="271"/>
    </row>
    <row r="447">
      <c r="A447" s="271"/>
      <c r="B447" s="271"/>
      <c r="C447" s="271"/>
      <c r="D447" s="271"/>
      <c r="E447" s="271"/>
      <c r="F447" s="271"/>
      <c r="G447" s="271"/>
      <c r="H447" s="271"/>
      <c r="I447" s="271"/>
      <c r="J447" s="271"/>
      <c r="K447" s="271"/>
      <c r="L447" s="271"/>
      <c r="M447" s="271"/>
      <c r="N447" s="271"/>
      <c r="O447" s="271"/>
      <c r="P447" s="271"/>
      <c r="Q447" s="271"/>
      <c r="R447" s="271"/>
      <c r="S447" s="271"/>
      <c r="T447" s="271"/>
      <c r="U447" s="271"/>
      <c r="V447" s="271"/>
      <c r="W447" s="271"/>
      <c r="X447" s="271"/>
      <c r="Y447" s="271"/>
      <c r="Z447" s="271"/>
    </row>
    <row r="448">
      <c r="A448" s="271"/>
      <c r="B448" s="271"/>
      <c r="C448" s="271"/>
      <c r="D448" s="271"/>
      <c r="E448" s="271"/>
      <c r="F448" s="271"/>
      <c r="G448" s="271"/>
      <c r="H448" s="271"/>
      <c r="I448" s="271"/>
      <c r="J448" s="271"/>
      <c r="K448" s="271"/>
      <c r="L448" s="271"/>
      <c r="M448" s="271"/>
      <c r="N448" s="271"/>
      <c r="O448" s="271"/>
      <c r="P448" s="271"/>
      <c r="Q448" s="271"/>
      <c r="R448" s="271"/>
      <c r="S448" s="271"/>
      <c r="T448" s="271"/>
      <c r="U448" s="271"/>
      <c r="V448" s="271"/>
      <c r="W448" s="271"/>
      <c r="X448" s="271"/>
      <c r="Y448" s="271"/>
      <c r="Z448" s="271"/>
    </row>
    <row r="449">
      <c r="A449" s="271"/>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row>
    <row r="450">
      <c r="A450" s="271"/>
      <c r="B450" s="271"/>
      <c r="C450" s="271"/>
      <c r="D450" s="271"/>
      <c r="E450" s="271"/>
      <c r="F450" s="271"/>
      <c r="G450" s="271"/>
      <c r="H450" s="271"/>
      <c r="I450" s="271"/>
      <c r="J450" s="271"/>
      <c r="K450" s="271"/>
      <c r="L450" s="271"/>
      <c r="M450" s="271"/>
      <c r="N450" s="271"/>
      <c r="O450" s="271"/>
      <c r="P450" s="271"/>
      <c r="Q450" s="271"/>
      <c r="R450" s="271"/>
      <c r="S450" s="271"/>
      <c r="T450" s="271"/>
      <c r="U450" s="271"/>
      <c r="V450" s="271"/>
      <c r="W450" s="271"/>
      <c r="X450" s="271"/>
      <c r="Y450" s="271"/>
      <c r="Z450" s="271"/>
    </row>
    <row r="451">
      <c r="A451" s="271"/>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row>
    <row r="452">
      <c r="A452" s="271"/>
      <c r="B452" s="271"/>
      <c r="C452" s="271"/>
      <c r="D452" s="271"/>
      <c r="E452" s="271"/>
      <c r="F452" s="271"/>
      <c r="G452" s="271"/>
      <c r="H452" s="271"/>
      <c r="I452" s="271"/>
      <c r="J452" s="271"/>
      <c r="K452" s="271"/>
      <c r="L452" s="271"/>
      <c r="M452" s="271"/>
      <c r="N452" s="271"/>
      <c r="O452" s="271"/>
      <c r="P452" s="271"/>
      <c r="Q452" s="271"/>
      <c r="R452" s="271"/>
      <c r="S452" s="271"/>
      <c r="T452" s="271"/>
      <c r="U452" s="271"/>
      <c r="V452" s="271"/>
      <c r="W452" s="271"/>
      <c r="X452" s="271"/>
      <c r="Y452" s="271"/>
      <c r="Z452" s="271"/>
    </row>
    <row r="453">
      <c r="A453" s="271"/>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row>
    <row r="454">
      <c r="A454" s="271"/>
      <c r="B454" s="271"/>
      <c r="C454" s="271"/>
      <c r="D454" s="271"/>
      <c r="E454" s="271"/>
      <c r="F454" s="271"/>
      <c r="G454" s="271"/>
      <c r="H454" s="271"/>
      <c r="I454" s="271"/>
      <c r="J454" s="271"/>
      <c r="K454" s="271"/>
      <c r="L454" s="271"/>
      <c r="M454" s="271"/>
      <c r="N454" s="271"/>
      <c r="O454" s="271"/>
      <c r="P454" s="271"/>
      <c r="Q454" s="271"/>
      <c r="R454" s="271"/>
      <c r="S454" s="271"/>
      <c r="T454" s="271"/>
      <c r="U454" s="271"/>
      <c r="V454" s="271"/>
      <c r="W454" s="271"/>
      <c r="X454" s="271"/>
      <c r="Y454" s="271"/>
      <c r="Z454" s="271"/>
    </row>
    <row r="455">
      <c r="A455" s="271"/>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row>
    <row r="456">
      <c r="A456" s="271"/>
      <c r="B456" s="271"/>
      <c r="C456" s="271"/>
      <c r="D456" s="271"/>
      <c r="E456" s="271"/>
      <c r="F456" s="271"/>
      <c r="G456" s="271"/>
      <c r="H456" s="271"/>
      <c r="I456" s="271"/>
      <c r="J456" s="271"/>
      <c r="K456" s="271"/>
      <c r="L456" s="271"/>
      <c r="M456" s="271"/>
      <c r="N456" s="271"/>
      <c r="O456" s="271"/>
      <c r="P456" s="271"/>
      <c r="Q456" s="271"/>
      <c r="R456" s="271"/>
      <c r="S456" s="271"/>
      <c r="T456" s="271"/>
      <c r="U456" s="271"/>
      <c r="V456" s="271"/>
      <c r="W456" s="271"/>
      <c r="X456" s="271"/>
      <c r="Y456" s="271"/>
      <c r="Z456" s="271"/>
    </row>
    <row r="457">
      <c r="A457" s="271"/>
      <c r="B457" s="271"/>
      <c r="C457" s="271"/>
      <c r="D457" s="271"/>
      <c r="E457" s="271"/>
      <c r="F457" s="271"/>
      <c r="G457" s="271"/>
      <c r="H457" s="271"/>
      <c r="I457" s="271"/>
      <c r="J457" s="271"/>
      <c r="K457" s="271"/>
      <c r="L457" s="271"/>
      <c r="M457" s="271"/>
      <c r="N457" s="271"/>
      <c r="O457" s="271"/>
      <c r="P457" s="271"/>
      <c r="Q457" s="271"/>
      <c r="R457" s="271"/>
      <c r="S457" s="271"/>
      <c r="T457" s="271"/>
      <c r="U457" s="271"/>
      <c r="V457" s="271"/>
      <c r="W457" s="271"/>
      <c r="X457" s="271"/>
      <c r="Y457" s="271"/>
      <c r="Z457" s="271"/>
    </row>
    <row r="458">
      <c r="A458" s="271"/>
      <c r="B458" s="271"/>
      <c r="C458" s="271"/>
      <c r="D458" s="271"/>
      <c r="E458" s="271"/>
      <c r="F458" s="271"/>
      <c r="G458" s="271"/>
      <c r="H458" s="271"/>
      <c r="I458" s="271"/>
      <c r="J458" s="271"/>
      <c r="K458" s="271"/>
      <c r="L458" s="271"/>
      <c r="M458" s="271"/>
      <c r="N458" s="271"/>
      <c r="O458" s="271"/>
      <c r="P458" s="271"/>
      <c r="Q458" s="271"/>
      <c r="R458" s="271"/>
      <c r="S458" s="271"/>
      <c r="T458" s="271"/>
      <c r="U458" s="271"/>
      <c r="V458" s="271"/>
      <c r="W458" s="271"/>
      <c r="X458" s="271"/>
      <c r="Y458" s="271"/>
      <c r="Z458" s="271"/>
    </row>
    <row r="459">
      <c r="A459" s="271"/>
      <c r="B459" s="271"/>
      <c r="C459" s="271"/>
      <c r="D459" s="271"/>
      <c r="E459" s="271"/>
      <c r="F459" s="271"/>
      <c r="G459" s="271"/>
      <c r="H459" s="271"/>
      <c r="I459" s="271"/>
      <c r="J459" s="271"/>
      <c r="K459" s="271"/>
      <c r="L459" s="271"/>
      <c r="M459" s="271"/>
      <c r="N459" s="271"/>
      <c r="O459" s="271"/>
      <c r="P459" s="271"/>
      <c r="Q459" s="271"/>
      <c r="R459" s="271"/>
      <c r="S459" s="271"/>
      <c r="T459" s="271"/>
      <c r="U459" s="271"/>
      <c r="V459" s="271"/>
      <c r="W459" s="271"/>
      <c r="X459" s="271"/>
      <c r="Y459" s="271"/>
      <c r="Z459" s="271"/>
    </row>
    <row r="460">
      <c r="A460" s="271"/>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row>
    <row r="461">
      <c r="A461" s="271"/>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row>
    <row r="462">
      <c r="A462" s="271"/>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row>
    <row r="463">
      <c r="A463" s="271"/>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row>
    <row r="464">
      <c r="A464" s="271"/>
      <c r="B464" s="271"/>
      <c r="C464" s="271"/>
      <c r="D464" s="271"/>
      <c r="E464" s="271"/>
      <c r="F464" s="271"/>
      <c r="G464" s="271"/>
      <c r="H464" s="271"/>
      <c r="I464" s="271"/>
      <c r="J464" s="271"/>
      <c r="K464" s="271"/>
      <c r="L464" s="271"/>
      <c r="M464" s="271"/>
      <c r="N464" s="271"/>
      <c r="O464" s="271"/>
      <c r="P464" s="271"/>
      <c r="Q464" s="271"/>
      <c r="R464" s="271"/>
      <c r="S464" s="271"/>
      <c r="T464" s="271"/>
      <c r="U464" s="271"/>
      <c r="V464" s="271"/>
      <c r="W464" s="271"/>
      <c r="X464" s="271"/>
      <c r="Y464" s="271"/>
      <c r="Z464" s="271"/>
    </row>
    <row r="465">
      <c r="A465" s="271"/>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row>
    <row r="466">
      <c r="A466" s="271"/>
      <c r="B466" s="271"/>
      <c r="C466" s="271"/>
      <c r="D466" s="271"/>
      <c r="E466" s="271"/>
      <c r="F466" s="271"/>
      <c r="G466" s="271"/>
      <c r="H466" s="271"/>
      <c r="I466" s="271"/>
      <c r="J466" s="271"/>
      <c r="K466" s="271"/>
      <c r="L466" s="271"/>
      <c r="M466" s="271"/>
      <c r="N466" s="271"/>
      <c r="O466" s="271"/>
      <c r="P466" s="271"/>
      <c r="Q466" s="271"/>
      <c r="R466" s="271"/>
      <c r="S466" s="271"/>
      <c r="T466" s="271"/>
      <c r="U466" s="271"/>
      <c r="V466" s="271"/>
      <c r="W466" s="271"/>
      <c r="X466" s="271"/>
      <c r="Y466" s="271"/>
      <c r="Z466" s="271"/>
    </row>
    <row r="467">
      <c r="A467" s="271"/>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row>
    <row r="468">
      <c r="A468" s="271"/>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row>
    <row r="469">
      <c r="A469" s="271"/>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row>
    <row r="470">
      <c r="A470" s="271"/>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row>
    <row r="471">
      <c r="A471" s="271"/>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row>
    <row r="472">
      <c r="A472" s="271"/>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row>
    <row r="473">
      <c r="A473" s="271"/>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row>
    <row r="474">
      <c r="A474" s="271"/>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row>
    <row r="475">
      <c r="A475" s="271"/>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row>
    <row r="476">
      <c r="A476" s="271"/>
      <c r="B476" s="271"/>
      <c r="C476" s="271"/>
      <c r="D476" s="271"/>
      <c r="E476" s="271"/>
      <c r="F476" s="271"/>
      <c r="G476" s="271"/>
      <c r="H476" s="271"/>
      <c r="I476" s="271"/>
      <c r="J476" s="271"/>
      <c r="K476" s="271"/>
      <c r="L476" s="271"/>
      <c r="M476" s="271"/>
      <c r="N476" s="271"/>
      <c r="O476" s="271"/>
      <c r="P476" s="271"/>
      <c r="Q476" s="271"/>
      <c r="R476" s="271"/>
      <c r="S476" s="271"/>
      <c r="T476" s="271"/>
      <c r="U476" s="271"/>
      <c r="V476" s="271"/>
      <c r="W476" s="271"/>
      <c r="X476" s="271"/>
      <c r="Y476" s="271"/>
      <c r="Z476" s="271"/>
    </row>
    <row r="477">
      <c r="A477" s="271"/>
      <c r="B477" s="271"/>
      <c r="C477" s="271"/>
      <c r="D477" s="271"/>
      <c r="E477" s="271"/>
      <c r="F477" s="271"/>
      <c r="G477" s="271"/>
      <c r="H477" s="271"/>
      <c r="I477" s="271"/>
      <c r="J477" s="271"/>
      <c r="K477" s="271"/>
      <c r="L477" s="271"/>
      <c r="M477" s="271"/>
      <c r="N477" s="271"/>
      <c r="O477" s="271"/>
      <c r="P477" s="271"/>
      <c r="Q477" s="271"/>
      <c r="R477" s="271"/>
      <c r="S477" s="271"/>
      <c r="T477" s="271"/>
      <c r="U477" s="271"/>
      <c r="V477" s="271"/>
      <c r="W477" s="271"/>
      <c r="X477" s="271"/>
      <c r="Y477" s="271"/>
      <c r="Z477" s="271"/>
    </row>
    <row r="478">
      <c r="A478" s="271"/>
      <c r="B478" s="271"/>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row>
    <row r="479">
      <c r="A479" s="271"/>
      <c r="B479" s="271"/>
      <c r="C479" s="271"/>
      <c r="D479" s="271"/>
      <c r="E479" s="271"/>
      <c r="F479" s="271"/>
      <c r="G479" s="271"/>
      <c r="H479" s="271"/>
      <c r="I479" s="271"/>
      <c r="J479" s="271"/>
      <c r="K479" s="271"/>
      <c r="L479" s="271"/>
      <c r="M479" s="271"/>
      <c r="N479" s="271"/>
      <c r="O479" s="271"/>
      <c r="P479" s="271"/>
      <c r="Q479" s="271"/>
      <c r="R479" s="271"/>
      <c r="S479" s="271"/>
      <c r="T479" s="271"/>
      <c r="U479" s="271"/>
      <c r="V479" s="271"/>
      <c r="W479" s="271"/>
      <c r="X479" s="271"/>
      <c r="Y479" s="271"/>
      <c r="Z479" s="271"/>
    </row>
    <row r="480">
      <c r="A480" s="271"/>
      <c r="B480" s="271"/>
      <c r="C480" s="271"/>
      <c r="D480" s="271"/>
      <c r="E480" s="271"/>
      <c r="F480" s="271"/>
      <c r="G480" s="271"/>
      <c r="H480" s="271"/>
      <c r="I480" s="271"/>
      <c r="J480" s="271"/>
      <c r="K480" s="271"/>
      <c r="L480" s="271"/>
      <c r="M480" s="271"/>
      <c r="N480" s="271"/>
      <c r="O480" s="271"/>
      <c r="P480" s="271"/>
      <c r="Q480" s="271"/>
      <c r="R480" s="271"/>
      <c r="S480" s="271"/>
      <c r="T480" s="271"/>
      <c r="U480" s="271"/>
      <c r="V480" s="271"/>
      <c r="W480" s="271"/>
      <c r="X480" s="271"/>
      <c r="Y480" s="271"/>
      <c r="Z480" s="271"/>
    </row>
    <row r="481">
      <c r="A481" s="271"/>
      <c r="B481" s="271"/>
      <c r="C481" s="271"/>
      <c r="D481" s="271"/>
      <c r="E481" s="271"/>
      <c r="F481" s="271"/>
      <c r="G481" s="271"/>
      <c r="H481" s="271"/>
      <c r="I481" s="271"/>
      <c r="J481" s="271"/>
      <c r="K481" s="271"/>
      <c r="L481" s="271"/>
      <c r="M481" s="271"/>
      <c r="N481" s="271"/>
      <c r="O481" s="271"/>
      <c r="P481" s="271"/>
      <c r="Q481" s="271"/>
      <c r="R481" s="271"/>
      <c r="S481" s="271"/>
      <c r="T481" s="271"/>
      <c r="U481" s="271"/>
      <c r="V481" s="271"/>
      <c r="W481" s="271"/>
      <c r="X481" s="271"/>
      <c r="Y481" s="271"/>
      <c r="Z481" s="271"/>
    </row>
    <row r="482">
      <c r="A482" s="271"/>
      <c r="B482" s="271"/>
      <c r="C482" s="271"/>
      <c r="D482" s="271"/>
      <c r="E482" s="271"/>
      <c r="F482" s="271"/>
      <c r="G482" s="271"/>
      <c r="H482" s="271"/>
      <c r="I482" s="271"/>
      <c r="J482" s="271"/>
      <c r="K482" s="271"/>
      <c r="L482" s="271"/>
      <c r="M482" s="271"/>
      <c r="N482" s="271"/>
      <c r="O482" s="271"/>
      <c r="P482" s="271"/>
      <c r="Q482" s="271"/>
      <c r="R482" s="271"/>
      <c r="S482" s="271"/>
      <c r="T482" s="271"/>
      <c r="U482" s="271"/>
      <c r="V482" s="271"/>
      <c r="W482" s="271"/>
      <c r="X482" s="271"/>
      <c r="Y482" s="271"/>
      <c r="Z482" s="271"/>
    </row>
    <row r="483">
      <c r="A483" s="271"/>
      <c r="B483" s="271"/>
      <c r="C483" s="271"/>
      <c r="D483" s="271"/>
      <c r="E483" s="271"/>
      <c r="F483" s="271"/>
      <c r="G483" s="271"/>
      <c r="H483" s="271"/>
      <c r="I483" s="271"/>
      <c r="J483" s="271"/>
      <c r="K483" s="271"/>
      <c r="L483" s="271"/>
      <c r="M483" s="271"/>
      <c r="N483" s="271"/>
      <c r="O483" s="271"/>
      <c r="P483" s="271"/>
      <c r="Q483" s="271"/>
      <c r="R483" s="271"/>
      <c r="S483" s="271"/>
      <c r="T483" s="271"/>
      <c r="U483" s="271"/>
      <c r="V483" s="271"/>
      <c r="W483" s="271"/>
      <c r="X483" s="271"/>
      <c r="Y483" s="271"/>
      <c r="Z483" s="271"/>
    </row>
    <row r="484">
      <c r="A484" s="271"/>
      <c r="B484" s="271"/>
      <c r="C484" s="271"/>
      <c r="D484" s="271"/>
      <c r="E484" s="271"/>
      <c r="F484" s="271"/>
      <c r="G484" s="271"/>
      <c r="H484" s="271"/>
      <c r="I484" s="271"/>
      <c r="J484" s="271"/>
      <c r="K484" s="271"/>
      <c r="L484" s="271"/>
      <c r="M484" s="271"/>
      <c r="N484" s="271"/>
      <c r="O484" s="271"/>
      <c r="P484" s="271"/>
      <c r="Q484" s="271"/>
      <c r="R484" s="271"/>
      <c r="S484" s="271"/>
      <c r="T484" s="271"/>
      <c r="U484" s="271"/>
      <c r="V484" s="271"/>
      <c r="W484" s="271"/>
      <c r="X484" s="271"/>
      <c r="Y484" s="271"/>
      <c r="Z484" s="271"/>
    </row>
    <row r="485">
      <c r="A485" s="271"/>
      <c r="B485" s="271"/>
      <c r="C485" s="271"/>
      <c r="D485" s="271"/>
      <c r="E485" s="271"/>
      <c r="F485" s="271"/>
      <c r="G485" s="271"/>
      <c r="H485" s="271"/>
      <c r="I485" s="271"/>
      <c r="J485" s="271"/>
      <c r="K485" s="271"/>
      <c r="L485" s="271"/>
      <c r="M485" s="271"/>
      <c r="N485" s="271"/>
      <c r="O485" s="271"/>
      <c r="P485" s="271"/>
      <c r="Q485" s="271"/>
      <c r="R485" s="271"/>
      <c r="S485" s="271"/>
      <c r="T485" s="271"/>
      <c r="U485" s="271"/>
      <c r="V485" s="271"/>
      <c r="W485" s="271"/>
      <c r="X485" s="271"/>
      <c r="Y485" s="271"/>
      <c r="Z485" s="271"/>
    </row>
    <row r="486">
      <c r="A486" s="271"/>
      <c r="B486" s="271"/>
      <c r="C486" s="271"/>
      <c r="D486" s="271"/>
      <c r="E486" s="271"/>
      <c r="F486" s="271"/>
      <c r="G486" s="271"/>
      <c r="H486" s="271"/>
      <c r="I486" s="271"/>
      <c r="J486" s="271"/>
      <c r="K486" s="271"/>
      <c r="L486" s="271"/>
      <c r="M486" s="271"/>
      <c r="N486" s="271"/>
      <c r="O486" s="271"/>
      <c r="P486" s="271"/>
      <c r="Q486" s="271"/>
      <c r="R486" s="271"/>
      <c r="S486" s="271"/>
      <c r="T486" s="271"/>
      <c r="U486" s="271"/>
      <c r="V486" s="271"/>
      <c r="W486" s="271"/>
      <c r="X486" s="271"/>
      <c r="Y486" s="271"/>
      <c r="Z486" s="271"/>
    </row>
    <row r="487">
      <c r="A487" s="271"/>
      <c r="B487" s="271"/>
      <c r="C487" s="271"/>
      <c r="D487" s="271"/>
      <c r="E487" s="271"/>
      <c r="F487" s="271"/>
      <c r="G487" s="271"/>
      <c r="H487" s="271"/>
      <c r="I487" s="271"/>
      <c r="J487" s="271"/>
      <c r="K487" s="271"/>
      <c r="L487" s="271"/>
      <c r="M487" s="271"/>
      <c r="N487" s="271"/>
      <c r="O487" s="271"/>
      <c r="P487" s="271"/>
      <c r="Q487" s="271"/>
      <c r="R487" s="271"/>
      <c r="S487" s="271"/>
      <c r="T487" s="271"/>
      <c r="U487" s="271"/>
      <c r="V487" s="271"/>
      <c r="W487" s="271"/>
      <c r="X487" s="271"/>
      <c r="Y487" s="271"/>
      <c r="Z487" s="271"/>
    </row>
    <row r="488">
      <c r="A488" s="271"/>
      <c r="B488" s="271"/>
      <c r="C488" s="271"/>
      <c r="D488" s="271"/>
      <c r="E488" s="271"/>
      <c r="F488" s="271"/>
      <c r="G488" s="271"/>
      <c r="H488" s="271"/>
      <c r="I488" s="271"/>
      <c r="J488" s="271"/>
      <c r="K488" s="271"/>
      <c r="L488" s="271"/>
      <c r="M488" s="271"/>
      <c r="N488" s="271"/>
      <c r="O488" s="271"/>
      <c r="P488" s="271"/>
      <c r="Q488" s="271"/>
      <c r="R488" s="271"/>
      <c r="S488" s="271"/>
      <c r="T488" s="271"/>
      <c r="U488" s="271"/>
      <c r="V488" s="271"/>
      <c r="W488" s="271"/>
      <c r="X488" s="271"/>
      <c r="Y488" s="271"/>
      <c r="Z488" s="271"/>
    </row>
    <row r="489">
      <c r="A489" s="271"/>
      <c r="B489" s="271"/>
      <c r="C489" s="271"/>
      <c r="D489" s="271"/>
      <c r="E489" s="271"/>
      <c r="F489" s="271"/>
      <c r="G489" s="271"/>
      <c r="H489" s="271"/>
      <c r="I489" s="271"/>
      <c r="J489" s="271"/>
      <c r="K489" s="271"/>
      <c r="L489" s="271"/>
      <c r="M489" s="271"/>
      <c r="N489" s="271"/>
      <c r="O489" s="271"/>
      <c r="P489" s="271"/>
      <c r="Q489" s="271"/>
      <c r="R489" s="271"/>
      <c r="S489" s="271"/>
      <c r="T489" s="271"/>
      <c r="U489" s="271"/>
      <c r="V489" s="271"/>
      <c r="W489" s="271"/>
      <c r="X489" s="271"/>
      <c r="Y489" s="271"/>
      <c r="Z489" s="271"/>
    </row>
    <row r="490">
      <c r="A490" s="271"/>
      <c r="B490" s="271"/>
      <c r="C490" s="271"/>
      <c r="D490" s="271"/>
      <c r="E490" s="271"/>
      <c r="F490" s="271"/>
      <c r="G490" s="271"/>
      <c r="H490" s="271"/>
      <c r="I490" s="271"/>
      <c r="J490" s="271"/>
      <c r="K490" s="271"/>
      <c r="L490" s="271"/>
      <c r="M490" s="271"/>
      <c r="N490" s="271"/>
      <c r="O490" s="271"/>
      <c r="P490" s="271"/>
      <c r="Q490" s="271"/>
      <c r="R490" s="271"/>
      <c r="S490" s="271"/>
      <c r="T490" s="271"/>
      <c r="U490" s="271"/>
      <c r="V490" s="271"/>
      <c r="W490" s="271"/>
      <c r="X490" s="271"/>
      <c r="Y490" s="271"/>
      <c r="Z490" s="271"/>
    </row>
    <row r="491">
      <c r="A491" s="271"/>
      <c r="B491" s="271"/>
      <c r="C491" s="271"/>
      <c r="D491" s="271"/>
      <c r="E491" s="271"/>
      <c r="F491" s="271"/>
      <c r="G491" s="271"/>
      <c r="H491" s="271"/>
      <c r="I491" s="271"/>
      <c r="J491" s="271"/>
      <c r="K491" s="271"/>
      <c r="L491" s="271"/>
      <c r="M491" s="271"/>
      <c r="N491" s="271"/>
      <c r="O491" s="271"/>
      <c r="P491" s="271"/>
      <c r="Q491" s="271"/>
      <c r="R491" s="271"/>
      <c r="S491" s="271"/>
      <c r="T491" s="271"/>
      <c r="U491" s="271"/>
      <c r="V491" s="271"/>
      <c r="W491" s="271"/>
      <c r="X491" s="271"/>
      <c r="Y491" s="271"/>
      <c r="Z491" s="271"/>
    </row>
    <row r="492">
      <c r="A492" s="271"/>
      <c r="B492" s="271"/>
      <c r="C492" s="271"/>
      <c r="D492" s="271"/>
      <c r="E492" s="271"/>
      <c r="F492" s="271"/>
      <c r="G492" s="271"/>
      <c r="H492" s="271"/>
      <c r="I492" s="271"/>
      <c r="J492" s="271"/>
      <c r="K492" s="271"/>
      <c r="L492" s="271"/>
      <c r="M492" s="271"/>
      <c r="N492" s="271"/>
      <c r="O492" s="271"/>
      <c r="P492" s="271"/>
      <c r="Q492" s="271"/>
      <c r="R492" s="271"/>
      <c r="S492" s="271"/>
      <c r="T492" s="271"/>
      <c r="U492" s="271"/>
      <c r="V492" s="271"/>
      <c r="W492" s="271"/>
      <c r="X492" s="271"/>
      <c r="Y492" s="271"/>
      <c r="Z492" s="271"/>
    </row>
    <row r="493">
      <c r="A493" s="271"/>
      <c r="B493" s="271"/>
      <c r="C493" s="271"/>
      <c r="D493" s="271"/>
      <c r="E493" s="271"/>
      <c r="F493" s="271"/>
      <c r="G493" s="271"/>
      <c r="H493" s="271"/>
      <c r="I493" s="271"/>
      <c r="J493" s="271"/>
      <c r="K493" s="271"/>
      <c r="L493" s="271"/>
      <c r="M493" s="271"/>
      <c r="N493" s="271"/>
      <c r="O493" s="271"/>
      <c r="P493" s="271"/>
      <c r="Q493" s="271"/>
      <c r="R493" s="271"/>
      <c r="S493" s="271"/>
      <c r="T493" s="271"/>
      <c r="U493" s="271"/>
      <c r="V493" s="271"/>
      <c r="W493" s="271"/>
      <c r="X493" s="271"/>
      <c r="Y493" s="271"/>
      <c r="Z493" s="271"/>
    </row>
    <row r="494">
      <c r="A494" s="271"/>
      <c r="B494" s="271"/>
      <c r="C494" s="271"/>
      <c r="D494" s="271"/>
      <c r="E494" s="271"/>
      <c r="F494" s="271"/>
      <c r="G494" s="271"/>
      <c r="H494" s="271"/>
      <c r="I494" s="271"/>
      <c r="J494" s="271"/>
      <c r="K494" s="271"/>
      <c r="L494" s="271"/>
      <c r="M494" s="271"/>
      <c r="N494" s="271"/>
      <c r="O494" s="271"/>
      <c r="P494" s="271"/>
      <c r="Q494" s="271"/>
      <c r="R494" s="271"/>
      <c r="S494" s="271"/>
      <c r="T494" s="271"/>
      <c r="U494" s="271"/>
      <c r="V494" s="271"/>
      <c r="W494" s="271"/>
      <c r="X494" s="271"/>
      <c r="Y494" s="271"/>
      <c r="Z494" s="271"/>
    </row>
    <row r="495">
      <c r="A495" s="271"/>
      <c r="B495" s="271"/>
      <c r="C495" s="271"/>
      <c r="D495" s="271"/>
      <c r="E495" s="271"/>
      <c r="F495" s="271"/>
      <c r="G495" s="271"/>
      <c r="H495" s="271"/>
      <c r="I495" s="271"/>
      <c r="J495" s="271"/>
      <c r="K495" s="271"/>
      <c r="L495" s="271"/>
      <c r="M495" s="271"/>
      <c r="N495" s="271"/>
      <c r="O495" s="271"/>
      <c r="P495" s="271"/>
      <c r="Q495" s="271"/>
      <c r="R495" s="271"/>
      <c r="S495" s="271"/>
      <c r="T495" s="271"/>
      <c r="U495" s="271"/>
      <c r="V495" s="271"/>
      <c r="W495" s="271"/>
      <c r="X495" s="271"/>
      <c r="Y495" s="271"/>
      <c r="Z495" s="271"/>
    </row>
    <row r="496">
      <c r="A496" s="271"/>
      <c r="B496" s="271"/>
      <c r="C496" s="271"/>
      <c r="D496" s="271"/>
      <c r="E496" s="271"/>
      <c r="F496" s="271"/>
      <c r="G496" s="271"/>
      <c r="H496" s="271"/>
      <c r="I496" s="271"/>
      <c r="J496" s="271"/>
      <c r="K496" s="271"/>
      <c r="L496" s="271"/>
      <c r="M496" s="271"/>
      <c r="N496" s="271"/>
      <c r="O496" s="271"/>
      <c r="P496" s="271"/>
      <c r="Q496" s="271"/>
      <c r="R496" s="271"/>
      <c r="S496" s="271"/>
      <c r="T496" s="271"/>
      <c r="U496" s="271"/>
      <c r="V496" s="271"/>
      <c r="W496" s="271"/>
      <c r="X496" s="271"/>
      <c r="Y496" s="271"/>
      <c r="Z496" s="271"/>
    </row>
    <row r="497">
      <c r="A497" s="271"/>
      <c r="B497" s="271"/>
      <c r="C497" s="271"/>
      <c r="D497" s="271"/>
      <c r="E497" s="271"/>
      <c r="F497" s="271"/>
      <c r="G497" s="271"/>
      <c r="H497" s="271"/>
      <c r="I497" s="271"/>
      <c r="J497" s="271"/>
      <c r="K497" s="271"/>
      <c r="L497" s="271"/>
      <c r="M497" s="271"/>
      <c r="N497" s="271"/>
      <c r="O497" s="271"/>
      <c r="P497" s="271"/>
      <c r="Q497" s="271"/>
      <c r="R497" s="271"/>
      <c r="S497" s="271"/>
      <c r="T497" s="271"/>
      <c r="U497" s="271"/>
      <c r="V497" s="271"/>
      <c r="W497" s="271"/>
      <c r="X497" s="271"/>
      <c r="Y497" s="271"/>
      <c r="Z497" s="271"/>
    </row>
    <row r="498">
      <c r="A498" s="271"/>
      <c r="B498" s="271"/>
      <c r="C498" s="271"/>
      <c r="D498" s="271"/>
      <c r="E498" s="271"/>
      <c r="F498" s="271"/>
      <c r="G498" s="271"/>
      <c r="H498" s="271"/>
      <c r="I498" s="271"/>
      <c r="J498" s="271"/>
      <c r="K498" s="271"/>
      <c r="L498" s="271"/>
      <c r="M498" s="271"/>
      <c r="N498" s="271"/>
      <c r="O498" s="271"/>
      <c r="P498" s="271"/>
      <c r="Q498" s="271"/>
      <c r="R498" s="271"/>
      <c r="S498" s="271"/>
      <c r="T498" s="271"/>
      <c r="U498" s="271"/>
      <c r="V498" s="271"/>
      <c r="W498" s="271"/>
      <c r="X498" s="271"/>
      <c r="Y498" s="271"/>
      <c r="Z498" s="271"/>
    </row>
    <row r="499">
      <c r="A499" s="271"/>
      <c r="B499" s="271"/>
      <c r="C499" s="271"/>
      <c r="D499" s="271"/>
      <c r="E499" s="271"/>
      <c r="F499" s="271"/>
      <c r="G499" s="271"/>
      <c r="H499" s="271"/>
      <c r="I499" s="271"/>
      <c r="J499" s="271"/>
      <c r="K499" s="271"/>
      <c r="L499" s="271"/>
      <c r="M499" s="271"/>
      <c r="N499" s="271"/>
      <c r="O499" s="271"/>
      <c r="P499" s="271"/>
      <c r="Q499" s="271"/>
      <c r="R499" s="271"/>
      <c r="S499" s="271"/>
      <c r="T499" s="271"/>
      <c r="U499" s="271"/>
      <c r="V499" s="271"/>
      <c r="W499" s="271"/>
      <c r="X499" s="271"/>
      <c r="Y499" s="271"/>
      <c r="Z499" s="271"/>
    </row>
    <row r="500">
      <c r="A500" s="271"/>
      <c r="B500" s="271"/>
      <c r="C500" s="271"/>
      <c r="D500" s="271"/>
      <c r="E500" s="271"/>
      <c r="F500" s="271"/>
      <c r="G500" s="271"/>
      <c r="H500" s="271"/>
      <c r="I500" s="271"/>
      <c r="J500" s="271"/>
      <c r="K500" s="271"/>
      <c r="L500" s="271"/>
      <c r="M500" s="271"/>
      <c r="N500" s="271"/>
      <c r="O500" s="271"/>
      <c r="P500" s="271"/>
      <c r="Q500" s="271"/>
      <c r="R500" s="271"/>
      <c r="S500" s="271"/>
      <c r="T500" s="271"/>
      <c r="U500" s="271"/>
      <c r="V500" s="271"/>
      <c r="W500" s="271"/>
      <c r="X500" s="271"/>
      <c r="Y500" s="271"/>
      <c r="Z500" s="271"/>
    </row>
    <row r="501">
      <c r="A501" s="271"/>
      <c r="B501" s="271"/>
      <c r="C501" s="271"/>
      <c r="D501" s="271"/>
      <c r="E501" s="271"/>
      <c r="F501" s="271"/>
      <c r="G501" s="271"/>
      <c r="H501" s="271"/>
      <c r="I501" s="271"/>
      <c r="J501" s="271"/>
      <c r="K501" s="271"/>
      <c r="L501" s="271"/>
      <c r="M501" s="271"/>
      <c r="N501" s="271"/>
      <c r="O501" s="271"/>
      <c r="P501" s="271"/>
      <c r="Q501" s="271"/>
      <c r="R501" s="271"/>
      <c r="S501" s="271"/>
      <c r="T501" s="271"/>
      <c r="U501" s="271"/>
      <c r="V501" s="271"/>
      <c r="W501" s="271"/>
      <c r="X501" s="271"/>
      <c r="Y501" s="271"/>
      <c r="Z501" s="271"/>
    </row>
    <row r="502">
      <c r="A502" s="271"/>
      <c r="B502" s="271"/>
      <c r="C502" s="271"/>
      <c r="D502" s="271"/>
      <c r="E502" s="271"/>
      <c r="F502" s="271"/>
      <c r="G502" s="271"/>
      <c r="H502" s="271"/>
      <c r="I502" s="271"/>
      <c r="J502" s="271"/>
      <c r="K502" s="271"/>
      <c r="L502" s="271"/>
      <c r="M502" s="271"/>
      <c r="N502" s="271"/>
      <c r="O502" s="271"/>
      <c r="P502" s="271"/>
      <c r="Q502" s="271"/>
      <c r="R502" s="271"/>
      <c r="S502" s="271"/>
      <c r="T502" s="271"/>
      <c r="U502" s="271"/>
      <c r="V502" s="271"/>
      <c r="W502" s="271"/>
      <c r="X502" s="271"/>
      <c r="Y502" s="271"/>
      <c r="Z502" s="271"/>
    </row>
    <row r="503">
      <c r="A503" s="271"/>
      <c r="B503" s="271"/>
      <c r="C503" s="271"/>
      <c r="D503" s="271"/>
      <c r="E503" s="271"/>
      <c r="F503" s="271"/>
      <c r="G503" s="271"/>
      <c r="H503" s="271"/>
      <c r="I503" s="271"/>
      <c r="J503" s="271"/>
      <c r="K503" s="271"/>
      <c r="L503" s="271"/>
      <c r="M503" s="271"/>
      <c r="N503" s="271"/>
      <c r="O503" s="271"/>
      <c r="P503" s="271"/>
      <c r="Q503" s="271"/>
      <c r="R503" s="271"/>
      <c r="S503" s="271"/>
      <c r="T503" s="271"/>
      <c r="U503" s="271"/>
      <c r="V503" s="271"/>
      <c r="W503" s="271"/>
      <c r="X503" s="271"/>
      <c r="Y503" s="271"/>
      <c r="Z503" s="271"/>
    </row>
    <row r="504">
      <c r="A504" s="271"/>
      <c r="B504" s="271"/>
      <c r="C504" s="271"/>
      <c r="D504" s="271"/>
      <c r="E504" s="271"/>
      <c r="F504" s="271"/>
      <c r="G504" s="271"/>
      <c r="H504" s="271"/>
      <c r="I504" s="271"/>
      <c r="J504" s="271"/>
      <c r="K504" s="271"/>
      <c r="L504" s="271"/>
      <c r="M504" s="271"/>
      <c r="N504" s="271"/>
      <c r="O504" s="271"/>
      <c r="P504" s="271"/>
      <c r="Q504" s="271"/>
      <c r="R504" s="271"/>
      <c r="S504" s="271"/>
      <c r="T504" s="271"/>
      <c r="U504" s="271"/>
      <c r="V504" s="271"/>
      <c r="W504" s="271"/>
      <c r="X504" s="271"/>
      <c r="Y504" s="271"/>
      <c r="Z504" s="271"/>
    </row>
    <row r="505">
      <c r="A505" s="271"/>
      <c r="B505" s="271"/>
      <c r="C505" s="271"/>
      <c r="D505" s="271"/>
      <c r="E505" s="271"/>
      <c r="F505" s="271"/>
      <c r="G505" s="271"/>
      <c r="H505" s="271"/>
      <c r="I505" s="271"/>
      <c r="J505" s="271"/>
      <c r="K505" s="271"/>
      <c r="L505" s="271"/>
      <c r="M505" s="271"/>
      <c r="N505" s="271"/>
      <c r="O505" s="271"/>
      <c r="P505" s="271"/>
      <c r="Q505" s="271"/>
      <c r="R505" s="271"/>
      <c r="S505" s="271"/>
      <c r="T505" s="271"/>
      <c r="U505" s="271"/>
      <c r="V505" s="271"/>
      <c r="W505" s="271"/>
      <c r="X505" s="271"/>
      <c r="Y505" s="271"/>
      <c r="Z505" s="271"/>
    </row>
    <row r="506">
      <c r="A506" s="271"/>
      <c r="B506" s="271"/>
      <c r="C506" s="271"/>
      <c r="D506" s="271"/>
      <c r="E506" s="271"/>
      <c r="F506" s="271"/>
      <c r="G506" s="271"/>
      <c r="H506" s="271"/>
      <c r="I506" s="271"/>
      <c r="J506" s="271"/>
      <c r="K506" s="271"/>
      <c r="L506" s="271"/>
      <c r="M506" s="271"/>
      <c r="N506" s="271"/>
      <c r="O506" s="271"/>
      <c r="P506" s="271"/>
      <c r="Q506" s="271"/>
      <c r="R506" s="271"/>
      <c r="S506" s="271"/>
      <c r="T506" s="271"/>
      <c r="U506" s="271"/>
      <c r="V506" s="271"/>
      <c r="W506" s="271"/>
      <c r="X506" s="271"/>
      <c r="Y506" s="271"/>
      <c r="Z506" s="271"/>
    </row>
    <row r="507">
      <c r="A507" s="271"/>
      <c r="B507" s="271"/>
      <c r="C507" s="271"/>
      <c r="D507" s="271"/>
      <c r="E507" s="271"/>
      <c r="F507" s="271"/>
      <c r="G507" s="271"/>
      <c r="H507" s="271"/>
      <c r="I507" s="271"/>
      <c r="J507" s="271"/>
      <c r="K507" s="271"/>
      <c r="L507" s="271"/>
      <c r="M507" s="271"/>
      <c r="N507" s="271"/>
      <c r="O507" s="271"/>
      <c r="P507" s="271"/>
      <c r="Q507" s="271"/>
      <c r="R507" s="271"/>
      <c r="S507" s="271"/>
      <c r="T507" s="271"/>
      <c r="U507" s="271"/>
      <c r="V507" s="271"/>
      <c r="W507" s="271"/>
      <c r="X507" s="271"/>
      <c r="Y507" s="271"/>
      <c r="Z507" s="271"/>
    </row>
    <row r="508">
      <c r="A508" s="271"/>
      <c r="B508" s="271"/>
      <c r="C508" s="271"/>
      <c r="D508" s="271"/>
      <c r="E508" s="271"/>
      <c r="F508" s="271"/>
      <c r="G508" s="271"/>
      <c r="H508" s="271"/>
      <c r="I508" s="271"/>
      <c r="J508" s="271"/>
      <c r="K508" s="271"/>
      <c r="L508" s="271"/>
      <c r="M508" s="271"/>
      <c r="N508" s="271"/>
      <c r="O508" s="271"/>
      <c r="P508" s="271"/>
      <c r="Q508" s="271"/>
      <c r="R508" s="271"/>
      <c r="S508" s="271"/>
      <c r="T508" s="271"/>
      <c r="U508" s="271"/>
      <c r="V508" s="271"/>
      <c r="W508" s="271"/>
      <c r="X508" s="271"/>
      <c r="Y508" s="271"/>
      <c r="Z508" s="271"/>
    </row>
    <row r="509">
      <c r="A509" s="271"/>
      <c r="B509" s="271"/>
      <c r="C509" s="271"/>
      <c r="D509" s="271"/>
      <c r="E509" s="271"/>
      <c r="F509" s="271"/>
      <c r="G509" s="271"/>
      <c r="H509" s="271"/>
      <c r="I509" s="271"/>
      <c r="J509" s="271"/>
      <c r="K509" s="271"/>
      <c r="L509" s="271"/>
      <c r="M509" s="271"/>
      <c r="N509" s="271"/>
      <c r="O509" s="271"/>
      <c r="P509" s="271"/>
      <c r="Q509" s="271"/>
      <c r="R509" s="271"/>
      <c r="S509" s="271"/>
      <c r="T509" s="271"/>
      <c r="U509" s="271"/>
      <c r="V509" s="271"/>
      <c r="W509" s="271"/>
      <c r="X509" s="271"/>
      <c r="Y509" s="271"/>
      <c r="Z509" s="271"/>
    </row>
    <row r="510">
      <c r="A510" s="271"/>
      <c r="B510" s="271"/>
      <c r="C510" s="271"/>
      <c r="D510" s="271"/>
      <c r="E510" s="271"/>
      <c r="F510" s="271"/>
      <c r="G510" s="271"/>
      <c r="H510" s="271"/>
      <c r="I510" s="271"/>
      <c r="J510" s="271"/>
      <c r="K510" s="271"/>
      <c r="L510" s="271"/>
      <c r="M510" s="271"/>
      <c r="N510" s="271"/>
      <c r="O510" s="271"/>
      <c r="P510" s="271"/>
      <c r="Q510" s="271"/>
      <c r="R510" s="271"/>
      <c r="S510" s="271"/>
      <c r="T510" s="271"/>
      <c r="U510" s="271"/>
      <c r="V510" s="271"/>
      <c r="W510" s="271"/>
      <c r="X510" s="271"/>
      <c r="Y510" s="271"/>
      <c r="Z510" s="271"/>
    </row>
    <row r="511">
      <c r="A511" s="271"/>
      <c r="B511" s="271"/>
      <c r="C511" s="271"/>
      <c r="D511" s="271"/>
      <c r="E511" s="271"/>
      <c r="F511" s="271"/>
      <c r="G511" s="271"/>
      <c r="H511" s="271"/>
      <c r="I511" s="271"/>
      <c r="J511" s="271"/>
      <c r="K511" s="271"/>
      <c r="L511" s="271"/>
      <c r="M511" s="271"/>
      <c r="N511" s="271"/>
      <c r="O511" s="271"/>
      <c r="P511" s="271"/>
      <c r="Q511" s="271"/>
      <c r="R511" s="271"/>
      <c r="S511" s="271"/>
      <c r="T511" s="271"/>
      <c r="U511" s="271"/>
      <c r="V511" s="271"/>
      <c r="W511" s="271"/>
      <c r="X511" s="271"/>
      <c r="Y511" s="271"/>
      <c r="Z511" s="271"/>
    </row>
    <row r="512">
      <c r="A512" s="271"/>
      <c r="B512" s="271"/>
      <c r="C512" s="271"/>
      <c r="D512" s="271"/>
      <c r="E512" s="271"/>
      <c r="F512" s="271"/>
      <c r="G512" s="271"/>
      <c r="H512" s="271"/>
      <c r="I512" s="271"/>
      <c r="J512" s="271"/>
      <c r="K512" s="271"/>
      <c r="L512" s="271"/>
      <c r="M512" s="271"/>
      <c r="N512" s="271"/>
      <c r="O512" s="271"/>
      <c r="P512" s="271"/>
      <c r="Q512" s="271"/>
      <c r="R512" s="271"/>
      <c r="S512" s="271"/>
      <c r="T512" s="271"/>
      <c r="U512" s="271"/>
      <c r="V512" s="271"/>
      <c r="W512" s="271"/>
      <c r="X512" s="271"/>
      <c r="Y512" s="271"/>
      <c r="Z512" s="271"/>
    </row>
    <row r="513">
      <c r="A513" s="271"/>
      <c r="B513" s="271"/>
      <c r="C513" s="271"/>
      <c r="D513" s="271"/>
      <c r="E513" s="271"/>
      <c r="F513" s="271"/>
      <c r="G513" s="271"/>
      <c r="H513" s="271"/>
      <c r="I513" s="271"/>
      <c r="J513" s="271"/>
      <c r="K513" s="271"/>
      <c r="L513" s="271"/>
      <c r="M513" s="271"/>
      <c r="N513" s="271"/>
      <c r="O513" s="271"/>
      <c r="P513" s="271"/>
      <c r="Q513" s="271"/>
      <c r="R513" s="271"/>
      <c r="S513" s="271"/>
      <c r="T513" s="271"/>
      <c r="U513" s="271"/>
      <c r="V513" s="271"/>
      <c r="W513" s="271"/>
      <c r="X513" s="271"/>
      <c r="Y513" s="271"/>
      <c r="Z513" s="271"/>
    </row>
    <row r="514">
      <c r="A514" s="271"/>
      <c r="B514" s="271"/>
      <c r="C514" s="271"/>
      <c r="D514" s="271"/>
      <c r="E514" s="271"/>
      <c r="F514" s="271"/>
      <c r="G514" s="271"/>
      <c r="H514" s="271"/>
      <c r="I514" s="271"/>
      <c r="J514" s="271"/>
      <c r="K514" s="271"/>
      <c r="L514" s="271"/>
      <c r="M514" s="271"/>
      <c r="N514" s="271"/>
      <c r="O514" s="271"/>
      <c r="P514" s="271"/>
      <c r="Q514" s="271"/>
      <c r="R514" s="271"/>
      <c r="S514" s="271"/>
      <c r="T514" s="271"/>
      <c r="U514" s="271"/>
      <c r="V514" s="271"/>
      <c r="W514" s="271"/>
      <c r="X514" s="271"/>
      <c r="Y514" s="271"/>
      <c r="Z514" s="271"/>
    </row>
    <row r="515">
      <c r="A515" s="271"/>
      <c r="B515" s="271"/>
      <c r="C515" s="271"/>
      <c r="D515" s="271"/>
      <c r="E515" s="271"/>
      <c r="F515" s="271"/>
      <c r="G515" s="271"/>
      <c r="H515" s="271"/>
      <c r="I515" s="271"/>
      <c r="J515" s="271"/>
      <c r="K515" s="271"/>
      <c r="L515" s="271"/>
      <c r="M515" s="271"/>
      <c r="N515" s="271"/>
      <c r="O515" s="271"/>
      <c r="P515" s="271"/>
      <c r="Q515" s="271"/>
      <c r="R515" s="271"/>
      <c r="S515" s="271"/>
      <c r="T515" s="271"/>
      <c r="U515" s="271"/>
      <c r="V515" s="271"/>
      <c r="W515" s="271"/>
      <c r="X515" s="271"/>
      <c r="Y515" s="271"/>
      <c r="Z515" s="271"/>
    </row>
    <row r="516">
      <c r="A516" s="271"/>
      <c r="B516" s="271"/>
      <c r="C516" s="271"/>
      <c r="D516" s="271"/>
      <c r="E516" s="271"/>
      <c r="F516" s="271"/>
      <c r="G516" s="271"/>
      <c r="H516" s="271"/>
      <c r="I516" s="271"/>
      <c r="J516" s="271"/>
      <c r="K516" s="271"/>
      <c r="L516" s="271"/>
      <c r="M516" s="271"/>
      <c r="N516" s="271"/>
      <c r="O516" s="271"/>
      <c r="P516" s="271"/>
      <c r="Q516" s="271"/>
      <c r="R516" s="271"/>
      <c r="S516" s="271"/>
      <c r="T516" s="271"/>
      <c r="U516" s="271"/>
      <c r="V516" s="271"/>
      <c r="W516" s="271"/>
      <c r="X516" s="271"/>
      <c r="Y516" s="271"/>
      <c r="Z516" s="271"/>
    </row>
    <row r="517">
      <c r="A517" s="271"/>
      <c r="B517" s="271"/>
      <c r="C517" s="271"/>
      <c r="D517" s="271"/>
      <c r="E517" s="271"/>
      <c r="F517" s="271"/>
      <c r="G517" s="271"/>
      <c r="H517" s="271"/>
      <c r="I517" s="271"/>
      <c r="J517" s="271"/>
      <c r="K517" s="271"/>
      <c r="L517" s="271"/>
      <c r="M517" s="271"/>
      <c r="N517" s="271"/>
      <c r="O517" s="271"/>
      <c r="P517" s="271"/>
      <c r="Q517" s="271"/>
      <c r="R517" s="271"/>
      <c r="S517" s="271"/>
      <c r="T517" s="271"/>
      <c r="U517" s="271"/>
      <c r="V517" s="271"/>
      <c r="W517" s="271"/>
      <c r="X517" s="271"/>
      <c r="Y517" s="271"/>
      <c r="Z517" s="271"/>
    </row>
    <row r="518">
      <c r="A518" s="271"/>
      <c r="B518" s="271"/>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row>
    <row r="519">
      <c r="A519" s="271"/>
      <c r="B519" s="271"/>
      <c r="C519" s="271"/>
      <c r="D519" s="271"/>
      <c r="E519" s="271"/>
      <c r="F519" s="271"/>
      <c r="G519" s="271"/>
      <c r="H519" s="271"/>
      <c r="I519" s="271"/>
      <c r="J519" s="271"/>
      <c r="K519" s="271"/>
      <c r="L519" s="271"/>
      <c r="M519" s="271"/>
      <c r="N519" s="271"/>
      <c r="O519" s="271"/>
      <c r="P519" s="271"/>
      <c r="Q519" s="271"/>
      <c r="R519" s="271"/>
      <c r="S519" s="271"/>
      <c r="T519" s="271"/>
      <c r="U519" s="271"/>
      <c r="V519" s="271"/>
      <c r="W519" s="271"/>
      <c r="X519" s="271"/>
      <c r="Y519" s="271"/>
      <c r="Z519" s="271"/>
    </row>
    <row r="520">
      <c r="A520" s="271"/>
      <c r="B520" s="271"/>
      <c r="C520" s="271"/>
      <c r="D520" s="271"/>
      <c r="E520" s="271"/>
      <c r="F520" s="271"/>
      <c r="G520" s="271"/>
      <c r="H520" s="271"/>
      <c r="I520" s="271"/>
      <c r="J520" s="271"/>
      <c r="K520" s="271"/>
      <c r="L520" s="271"/>
      <c r="M520" s="271"/>
      <c r="N520" s="271"/>
      <c r="O520" s="271"/>
      <c r="P520" s="271"/>
      <c r="Q520" s="271"/>
      <c r="R520" s="271"/>
      <c r="S520" s="271"/>
      <c r="T520" s="271"/>
      <c r="U520" s="271"/>
      <c r="V520" s="271"/>
      <c r="W520" s="271"/>
      <c r="X520" s="271"/>
      <c r="Y520" s="271"/>
      <c r="Z520" s="271"/>
    </row>
    <row r="521">
      <c r="A521" s="271"/>
      <c r="B521" s="271"/>
      <c r="C521" s="271"/>
      <c r="D521" s="271"/>
      <c r="E521" s="271"/>
      <c r="F521" s="271"/>
      <c r="G521" s="271"/>
      <c r="H521" s="271"/>
      <c r="I521" s="271"/>
      <c r="J521" s="271"/>
      <c r="K521" s="271"/>
      <c r="L521" s="271"/>
      <c r="M521" s="271"/>
      <c r="N521" s="271"/>
      <c r="O521" s="271"/>
      <c r="P521" s="271"/>
      <c r="Q521" s="271"/>
      <c r="R521" s="271"/>
      <c r="S521" s="271"/>
      <c r="T521" s="271"/>
      <c r="U521" s="271"/>
      <c r="V521" s="271"/>
      <c r="W521" s="271"/>
      <c r="X521" s="271"/>
      <c r="Y521" s="271"/>
      <c r="Z521" s="271"/>
    </row>
    <row r="522">
      <c r="A522" s="271"/>
      <c r="B522" s="271"/>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row>
    <row r="523">
      <c r="A523" s="271"/>
      <c r="B523" s="271"/>
      <c r="C523" s="271"/>
      <c r="D523" s="271"/>
      <c r="E523" s="271"/>
      <c r="F523" s="271"/>
      <c r="G523" s="271"/>
      <c r="H523" s="271"/>
      <c r="I523" s="271"/>
      <c r="J523" s="271"/>
      <c r="K523" s="271"/>
      <c r="L523" s="271"/>
      <c r="M523" s="271"/>
      <c r="N523" s="271"/>
      <c r="O523" s="271"/>
      <c r="P523" s="271"/>
      <c r="Q523" s="271"/>
      <c r="R523" s="271"/>
      <c r="S523" s="271"/>
      <c r="T523" s="271"/>
      <c r="U523" s="271"/>
      <c r="V523" s="271"/>
      <c r="W523" s="271"/>
      <c r="X523" s="271"/>
      <c r="Y523" s="271"/>
      <c r="Z523" s="271"/>
    </row>
    <row r="524">
      <c r="A524" s="271"/>
      <c r="B524" s="271"/>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row>
    <row r="525">
      <c r="A525" s="271"/>
      <c r="B525" s="271"/>
      <c r="C525" s="271"/>
      <c r="D525" s="271"/>
      <c r="E525" s="271"/>
      <c r="F525" s="271"/>
      <c r="G525" s="271"/>
      <c r="H525" s="271"/>
      <c r="I525" s="271"/>
      <c r="J525" s="271"/>
      <c r="K525" s="271"/>
      <c r="L525" s="271"/>
      <c r="M525" s="271"/>
      <c r="N525" s="271"/>
      <c r="O525" s="271"/>
      <c r="P525" s="271"/>
      <c r="Q525" s="271"/>
      <c r="R525" s="271"/>
      <c r="S525" s="271"/>
      <c r="T525" s="271"/>
      <c r="U525" s="271"/>
      <c r="V525" s="271"/>
      <c r="W525" s="271"/>
      <c r="X525" s="271"/>
      <c r="Y525" s="271"/>
      <c r="Z525" s="271"/>
    </row>
    <row r="526">
      <c r="A526" s="271"/>
      <c r="B526" s="271"/>
      <c r="C526" s="271"/>
      <c r="D526" s="271"/>
      <c r="E526" s="271"/>
      <c r="F526" s="271"/>
      <c r="G526" s="271"/>
      <c r="H526" s="271"/>
      <c r="I526" s="271"/>
      <c r="J526" s="271"/>
      <c r="K526" s="271"/>
      <c r="L526" s="271"/>
      <c r="M526" s="271"/>
      <c r="N526" s="271"/>
      <c r="O526" s="271"/>
      <c r="P526" s="271"/>
      <c r="Q526" s="271"/>
      <c r="R526" s="271"/>
      <c r="S526" s="271"/>
      <c r="T526" s="271"/>
      <c r="U526" s="271"/>
      <c r="V526" s="271"/>
      <c r="W526" s="271"/>
      <c r="X526" s="271"/>
      <c r="Y526" s="271"/>
      <c r="Z526" s="271"/>
    </row>
    <row r="527">
      <c r="A527" s="271"/>
      <c r="B527" s="271"/>
      <c r="C527" s="271"/>
      <c r="D527" s="271"/>
      <c r="E527" s="271"/>
      <c r="F527" s="271"/>
      <c r="G527" s="271"/>
      <c r="H527" s="271"/>
      <c r="I527" s="271"/>
      <c r="J527" s="271"/>
      <c r="K527" s="271"/>
      <c r="L527" s="271"/>
      <c r="M527" s="271"/>
      <c r="N527" s="271"/>
      <c r="O527" s="271"/>
      <c r="P527" s="271"/>
      <c r="Q527" s="271"/>
      <c r="R527" s="271"/>
      <c r="S527" s="271"/>
      <c r="T527" s="271"/>
      <c r="U527" s="271"/>
      <c r="V527" s="271"/>
      <c r="W527" s="271"/>
      <c r="X527" s="271"/>
      <c r="Y527" s="271"/>
      <c r="Z527" s="271"/>
    </row>
    <row r="528">
      <c r="A528" s="271"/>
      <c r="B528" s="271"/>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row>
    <row r="529">
      <c r="A529" s="271"/>
      <c r="B529" s="271"/>
      <c r="C529" s="271"/>
      <c r="D529" s="271"/>
      <c r="E529" s="271"/>
      <c r="F529" s="271"/>
      <c r="G529" s="271"/>
      <c r="H529" s="271"/>
      <c r="I529" s="271"/>
      <c r="J529" s="271"/>
      <c r="K529" s="271"/>
      <c r="L529" s="271"/>
      <c r="M529" s="271"/>
      <c r="N529" s="271"/>
      <c r="O529" s="271"/>
      <c r="P529" s="271"/>
      <c r="Q529" s="271"/>
      <c r="R529" s="271"/>
      <c r="S529" s="271"/>
      <c r="T529" s="271"/>
      <c r="U529" s="271"/>
      <c r="V529" s="271"/>
      <c r="W529" s="271"/>
      <c r="X529" s="271"/>
      <c r="Y529" s="271"/>
      <c r="Z529" s="271"/>
    </row>
    <row r="530">
      <c r="A530" s="271"/>
      <c r="B530" s="271"/>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row>
    <row r="531">
      <c r="A531" s="271"/>
      <c r="B531" s="271"/>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row>
    <row r="532">
      <c r="A532" s="271"/>
      <c r="B532" s="271"/>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row>
    <row r="533">
      <c r="A533" s="271"/>
      <c r="B533" s="271"/>
      <c r="C533" s="271"/>
      <c r="D533" s="271"/>
      <c r="E533" s="271"/>
      <c r="F533" s="271"/>
      <c r="G533" s="271"/>
      <c r="H533" s="271"/>
      <c r="I533" s="271"/>
      <c r="J533" s="271"/>
      <c r="K533" s="271"/>
      <c r="L533" s="271"/>
      <c r="M533" s="271"/>
      <c r="N533" s="271"/>
      <c r="O533" s="271"/>
      <c r="P533" s="271"/>
      <c r="Q533" s="271"/>
      <c r="R533" s="271"/>
      <c r="S533" s="271"/>
      <c r="T533" s="271"/>
      <c r="U533" s="271"/>
      <c r="V533" s="271"/>
      <c r="W533" s="271"/>
      <c r="X533" s="271"/>
      <c r="Y533" s="271"/>
      <c r="Z533" s="271"/>
    </row>
    <row r="534">
      <c r="A534" s="271"/>
      <c r="B534" s="271"/>
      <c r="C534" s="271"/>
      <c r="D534" s="271"/>
      <c r="E534" s="271"/>
      <c r="F534" s="271"/>
      <c r="G534" s="271"/>
      <c r="H534" s="271"/>
      <c r="I534" s="271"/>
      <c r="J534" s="271"/>
      <c r="K534" s="271"/>
      <c r="L534" s="271"/>
      <c r="M534" s="271"/>
      <c r="N534" s="271"/>
      <c r="O534" s="271"/>
      <c r="P534" s="271"/>
      <c r="Q534" s="271"/>
      <c r="R534" s="271"/>
      <c r="S534" s="271"/>
      <c r="T534" s="271"/>
      <c r="U534" s="271"/>
      <c r="V534" s="271"/>
      <c r="W534" s="271"/>
      <c r="X534" s="271"/>
      <c r="Y534" s="271"/>
      <c r="Z534" s="271"/>
    </row>
    <row r="535">
      <c r="A535" s="271"/>
      <c r="B535" s="271"/>
      <c r="C535" s="271"/>
      <c r="D535" s="271"/>
      <c r="E535" s="271"/>
      <c r="F535" s="271"/>
      <c r="G535" s="271"/>
      <c r="H535" s="271"/>
      <c r="I535" s="271"/>
      <c r="J535" s="271"/>
      <c r="K535" s="271"/>
      <c r="L535" s="271"/>
      <c r="M535" s="271"/>
      <c r="N535" s="271"/>
      <c r="O535" s="271"/>
      <c r="P535" s="271"/>
      <c r="Q535" s="271"/>
      <c r="R535" s="271"/>
      <c r="S535" s="271"/>
      <c r="T535" s="271"/>
      <c r="U535" s="271"/>
      <c r="V535" s="271"/>
      <c r="W535" s="271"/>
      <c r="X535" s="271"/>
      <c r="Y535" s="271"/>
      <c r="Z535" s="271"/>
    </row>
    <row r="536">
      <c r="A536" s="271"/>
      <c r="B536" s="271"/>
      <c r="C536" s="271"/>
      <c r="D536" s="271"/>
      <c r="E536" s="271"/>
      <c r="F536" s="271"/>
      <c r="G536" s="271"/>
      <c r="H536" s="271"/>
      <c r="I536" s="271"/>
      <c r="J536" s="271"/>
      <c r="K536" s="271"/>
      <c r="L536" s="271"/>
      <c r="M536" s="271"/>
      <c r="N536" s="271"/>
      <c r="O536" s="271"/>
      <c r="P536" s="271"/>
      <c r="Q536" s="271"/>
      <c r="R536" s="271"/>
      <c r="S536" s="271"/>
      <c r="T536" s="271"/>
      <c r="U536" s="271"/>
      <c r="V536" s="271"/>
      <c r="W536" s="271"/>
      <c r="X536" s="271"/>
      <c r="Y536" s="271"/>
      <c r="Z536" s="271"/>
    </row>
    <row r="537">
      <c r="A537" s="271"/>
      <c r="B537" s="271"/>
      <c r="C537" s="271"/>
      <c r="D537" s="271"/>
      <c r="E537" s="271"/>
      <c r="F537" s="271"/>
      <c r="G537" s="271"/>
      <c r="H537" s="271"/>
      <c r="I537" s="271"/>
      <c r="J537" s="271"/>
      <c r="K537" s="271"/>
      <c r="L537" s="271"/>
      <c r="M537" s="271"/>
      <c r="N537" s="271"/>
      <c r="O537" s="271"/>
      <c r="P537" s="271"/>
      <c r="Q537" s="271"/>
      <c r="R537" s="271"/>
      <c r="S537" s="271"/>
      <c r="T537" s="271"/>
      <c r="U537" s="271"/>
      <c r="V537" s="271"/>
      <c r="W537" s="271"/>
      <c r="X537" s="271"/>
      <c r="Y537" s="271"/>
      <c r="Z537" s="271"/>
    </row>
    <row r="538">
      <c r="A538" s="271"/>
      <c r="B538" s="271"/>
      <c r="C538" s="271"/>
      <c r="D538" s="271"/>
      <c r="E538" s="271"/>
      <c r="F538" s="271"/>
      <c r="G538" s="271"/>
      <c r="H538" s="271"/>
      <c r="I538" s="271"/>
      <c r="J538" s="271"/>
      <c r="K538" s="271"/>
      <c r="L538" s="271"/>
      <c r="M538" s="271"/>
      <c r="N538" s="271"/>
      <c r="O538" s="271"/>
      <c r="P538" s="271"/>
      <c r="Q538" s="271"/>
      <c r="R538" s="271"/>
      <c r="S538" s="271"/>
      <c r="T538" s="271"/>
      <c r="U538" s="271"/>
      <c r="V538" s="271"/>
      <c r="W538" s="271"/>
      <c r="X538" s="271"/>
      <c r="Y538" s="271"/>
      <c r="Z538" s="271"/>
    </row>
    <row r="539">
      <c r="A539" s="271"/>
      <c r="B539" s="271"/>
      <c r="C539" s="271"/>
      <c r="D539" s="271"/>
      <c r="E539" s="271"/>
      <c r="F539" s="271"/>
      <c r="G539" s="271"/>
      <c r="H539" s="271"/>
      <c r="I539" s="271"/>
      <c r="J539" s="271"/>
      <c r="K539" s="271"/>
      <c r="L539" s="271"/>
      <c r="M539" s="271"/>
      <c r="N539" s="271"/>
      <c r="O539" s="271"/>
      <c r="P539" s="271"/>
      <c r="Q539" s="271"/>
      <c r="R539" s="271"/>
      <c r="S539" s="271"/>
      <c r="T539" s="271"/>
      <c r="U539" s="271"/>
      <c r="V539" s="271"/>
      <c r="W539" s="271"/>
      <c r="X539" s="271"/>
      <c r="Y539" s="271"/>
      <c r="Z539" s="271"/>
    </row>
    <row r="540">
      <c r="A540" s="271"/>
      <c r="B540" s="271"/>
      <c r="C540" s="271"/>
      <c r="D540" s="271"/>
      <c r="E540" s="271"/>
      <c r="F540" s="271"/>
      <c r="G540" s="271"/>
      <c r="H540" s="271"/>
      <c r="I540" s="271"/>
      <c r="J540" s="271"/>
      <c r="K540" s="271"/>
      <c r="L540" s="271"/>
      <c r="M540" s="271"/>
      <c r="N540" s="271"/>
      <c r="O540" s="271"/>
      <c r="P540" s="271"/>
      <c r="Q540" s="271"/>
      <c r="R540" s="271"/>
      <c r="S540" s="271"/>
      <c r="T540" s="271"/>
      <c r="U540" s="271"/>
      <c r="V540" s="271"/>
      <c r="W540" s="271"/>
      <c r="X540" s="271"/>
      <c r="Y540" s="271"/>
      <c r="Z540" s="271"/>
    </row>
    <row r="541">
      <c r="A541" s="271"/>
      <c r="B541" s="271"/>
      <c r="C541" s="271"/>
      <c r="D541" s="271"/>
      <c r="E541" s="271"/>
      <c r="F541" s="271"/>
      <c r="G541" s="271"/>
      <c r="H541" s="271"/>
      <c r="I541" s="271"/>
      <c r="J541" s="271"/>
      <c r="K541" s="271"/>
      <c r="L541" s="271"/>
      <c r="M541" s="271"/>
      <c r="N541" s="271"/>
      <c r="O541" s="271"/>
      <c r="P541" s="271"/>
      <c r="Q541" s="271"/>
      <c r="R541" s="271"/>
      <c r="S541" s="271"/>
      <c r="T541" s="271"/>
      <c r="U541" s="271"/>
      <c r="V541" s="271"/>
      <c r="W541" s="271"/>
      <c r="X541" s="271"/>
      <c r="Y541" s="271"/>
      <c r="Z541" s="271"/>
    </row>
    <row r="542">
      <c r="A542" s="271"/>
      <c r="B542" s="271"/>
      <c r="C542" s="271"/>
      <c r="D542" s="271"/>
      <c r="E542" s="271"/>
      <c r="F542" s="271"/>
      <c r="G542" s="271"/>
      <c r="H542" s="271"/>
      <c r="I542" s="271"/>
      <c r="J542" s="271"/>
      <c r="K542" s="271"/>
      <c r="L542" s="271"/>
      <c r="M542" s="271"/>
      <c r="N542" s="271"/>
      <c r="O542" s="271"/>
      <c r="P542" s="271"/>
      <c r="Q542" s="271"/>
      <c r="R542" s="271"/>
      <c r="S542" s="271"/>
      <c r="T542" s="271"/>
      <c r="U542" s="271"/>
      <c r="V542" s="271"/>
      <c r="W542" s="271"/>
      <c r="X542" s="271"/>
      <c r="Y542" s="271"/>
      <c r="Z542" s="271"/>
    </row>
    <row r="543">
      <c r="A543" s="271"/>
      <c r="B543" s="271"/>
      <c r="C543" s="271"/>
      <c r="D543" s="271"/>
      <c r="E543" s="271"/>
      <c r="F543" s="271"/>
      <c r="G543" s="271"/>
      <c r="H543" s="271"/>
      <c r="I543" s="271"/>
      <c r="J543" s="271"/>
      <c r="K543" s="271"/>
      <c r="L543" s="271"/>
      <c r="M543" s="271"/>
      <c r="N543" s="271"/>
      <c r="O543" s="271"/>
      <c r="P543" s="271"/>
      <c r="Q543" s="271"/>
      <c r="R543" s="271"/>
      <c r="S543" s="271"/>
      <c r="T543" s="271"/>
      <c r="U543" s="271"/>
      <c r="V543" s="271"/>
      <c r="W543" s="271"/>
      <c r="X543" s="271"/>
      <c r="Y543" s="271"/>
      <c r="Z543" s="271"/>
    </row>
    <row r="544">
      <c r="A544" s="271"/>
      <c r="B544" s="271"/>
      <c r="C544" s="271"/>
      <c r="D544" s="271"/>
      <c r="E544" s="271"/>
      <c r="F544" s="271"/>
      <c r="G544" s="271"/>
      <c r="H544" s="271"/>
      <c r="I544" s="271"/>
      <c r="J544" s="271"/>
      <c r="K544" s="271"/>
      <c r="L544" s="271"/>
      <c r="M544" s="271"/>
      <c r="N544" s="271"/>
      <c r="O544" s="271"/>
      <c r="P544" s="271"/>
      <c r="Q544" s="271"/>
      <c r="R544" s="271"/>
      <c r="S544" s="271"/>
      <c r="T544" s="271"/>
      <c r="U544" s="271"/>
      <c r="V544" s="271"/>
      <c r="W544" s="271"/>
      <c r="X544" s="271"/>
      <c r="Y544" s="271"/>
      <c r="Z544" s="271"/>
    </row>
    <row r="545">
      <c r="A545" s="271"/>
      <c r="B545" s="271"/>
      <c r="C545" s="271"/>
      <c r="D545" s="271"/>
      <c r="E545" s="271"/>
      <c r="F545" s="271"/>
      <c r="G545" s="271"/>
      <c r="H545" s="271"/>
      <c r="I545" s="271"/>
      <c r="J545" s="271"/>
      <c r="K545" s="271"/>
      <c r="L545" s="271"/>
      <c r="M545" s="271"/>
      <c r="N545" s="271"/>
      <c r="O545" s="271"/>
      <c r="P545" s="271"/>
      <c r="Q545" s="271"/>
      <c r="R545" s="271"/>
      <c r="S545" s="271"/>
      <c r="T545" s="271"/>
      <c r="U545" s="271"/>
      <c r="V545" s="271"/>
      <c r="W545" s="271"/>
      <c r="X545" s="271"/>
      <c r="Y545" s="271"/>
      <c r="Z545" s="271"/>
    </row>
    <row r="546">
      <c r="A546" s="271"/>
      <c r="B546" s="271"/>
      <c r="C546" s="271"/>
      <c r="D546" s="271"/>
      <c r="E546" s="271"/>
      <c r="F546" s="271"/>
      <c r="G546" s="271"/>
      <c r="H546" s="271"/>
      <c r="I546" s="271"/>
      <c r="J546" s="271"/>
      <c r="K546" s="271"/>
      <c r="L546" s="271"/>
      <c r="M546" s="271"/>
      <c r="N546" s="271"/>
      <c r="O546" s="271"/>
      <c r="P546" s="271"/>
      <c r="Q546" s="271"/>
      <c r="R546" s="271"/>
      <c r="S546" s="271"/>
      <c r="T546" s="271"/>
      <c r="U546" s="271"/>
      <c r="V546" s="271"/>
      <c r="W546" s="271"/>
      <c r="X546" s="271"/>
      <c r="Y546" s="271"/>
      <c r="Z546" s="271"/>
    </row>
    <row r="547">
      <c r="A547" s="271"/>
      <c r="B547" s="271"/>
      <c r="C547" s="271"/>
      <c r="D547" s="271"/>
      <c r="E547" s="271"/>
      <c r="F547" s="271"/>
      <c r="G547" s="271"/>
      <c r="H547" s="271"/>
      <c r="I547" s="271"/>
      <c r="J547" s="271"/>
      <c r="K547" s="271"/>
      <c r="L547" s="271"/>
      <c r="M547" s="271"/>
      <c r="N547" s="271"/>
      <c r="O547" s="271"/>
      <c r="P547" s="271"/>
      <c r="Q547" s="271"/>
      <c r="R547" s="271"/>
      <c r="S547" s="271"/>
      <c r="T547" s="271"/>
      <c r="U547" s="271"/>
      <c r="V547" s="271"/>
      <c r="W547" s="271"/>
      <c r="X547" s="271"/>
      <c r="Y547" s="271"/>
      <c r="Z547" s="271"/>
    </row>
    <row r="548">
      <c r="A548" s="271"/>
      <c r="B548" s="271"/>
      <c r="C548" s="271"/>
      <c r="D548" s="271"/>
      <c r="E548" s="271"/>
      <c r="F548" s="271"/>
      <c r="G548" s="271"/>
      <c r="H548" s="271"/>
      <c r="I548" s="271"/>
      <c r="J548" s="271"/>
      <c r="K548" s="271"/>
      <c r="L548" s="271"/>
      <c r="M548" s="271"/>
      <c r="N548" s="271"/>
      <c r="O548" s="271"/>
      <c r="P548" s="271"/>
      <c r="Q548" s="271"/>
      <c r="R548" s="271"/>
      <c r="S548" s="271"/>
      <c r="T548" s="271"/>
      <c r="U548" s="271"/>
      <c r="V548" s="271"/>
      <c r="W548" s="271"/>
      <c r="X548" s="271"/>
      <c r="Y548" s="271"/>
      <c r="Z548" s="271"/>
    </row>
    <row r="549">
      <c r="A549" s="271"/>
      <c r="B549" s="271"/>
      <c r="C549" s="271"/>
      <c r="D549" s="271"/>
      <c r="E549" s="271"/>
      <c r="F549" s="271"/>
      <c r="G549" s="271"/>
      <c r="H549" s="271"/>
      <c r="I549" s="271"/>
      <c r="J549" s="271"/>
      <c r="K549" s="271"/>
      <c r="L549" s="271"/>
      <c r="M549" s="271"/>
      <c r="N549" s="271"/>
      <c r="O549" s="271"/>
      <c r="P549" s="271"/>
      <c r="Q549" s="271"/>
      <c r="R549" s="271"/>
      <c r="S549" s="271"/>
      <c r="T549" s="271"/>
      <c r="U549" s="271"/>
      <c r="V549" s="271"/>
      <c r="W549" s="271"/>
      <c r="X549" s="271"/>
      <c r="Y549" s="271"/>
      <c r="Z549" s="271"/>
    </row>
    <row r="550">
      <c r="A550" s="271"/>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row>
    <row r="551">
      <c r="A551" s="271"/>
      <c r="B551" s="271"/>
      <c r="C551" s="271"/>
      <c r="D551" s="271"/>
      <c r="E551" s="271"/>
      <c r="F551" s="271"/>
      <c r="G551" s="271"/>
      <c r="H551" s="271"/>
      <c r="I551" s="271"/>
      <c r="J551" s="271"/>
      <c r="K551" s="271"/>
      <c r="L551" s="271"/>
      <c r="M551" s="271"/>
      <c r="N551" s="271"/>
      <c r="O551" s="271"/>
      <c r="P551" s="271"/>
      <c r="Q551" s="271"/>
      <c r="R551" s="271"/>
      <c r="S551" s="271"/>
      <c r="T551" s="271"/>
      <c r="U551" s="271"/>
      <c r="V551" s="271"/>
      <c r="W551" s="271"/>
      <c r="X551" s="271"/>
      <c r="Y551" s="271"/>
      <c r="Z551" s="271"/>
    </row>
    <row r="552">
      <c r="A552" s="271"/>
      <c r="B552" s="271"/>
      <c r="C552" s="271"/>
      <c r="D552" s="271"/>
      <c r="E552" s="271"/>
      <c r="F552" s="271"/>
      <c r="G552" s="271"/>
      <c r="H552" s="271"/>
      <c r="I552" s="271"/>
      <c r="J552" s="271"/>
      <c r="K552" s="271"/>
      <c r="L552" s="271"/>
      <c r="M552" s="271"/>
      <c r="N552" s="271"/>
      <c r="O552" s="271"/>
      <c r="P552" s="271"/>
      <c r="Q552" s="271"/>
      <c r="R552" s="271"/>
      <c r="S552" s="271"/>
      <c r="T552" s="271"/>
      <c r="U552" s="271"/>
      <c r="V552" s="271"/>
      <c r="W552" s="271"/>
      <c r="X552" s="271"/>
      <c r="Y552" s="271"/>
      <c r="Z552" s="271"/>
    </row>
    <row r="553">
      <c r="A553" s="271"/>
      <c r="B553" s="271"/>
      <c r="C553" s="271"/>
      <c r="D553" s="271"/>
      <c r="E553" s="271"/>
      <c r="F553" s="271"/>
      <c r="G553" s="271"/>
      <c r="H553" s="271"/>
      <c r="I553" s="271"/>
      <c r="J553" s="271"/>
      <c r="K553" s="271"/>
      <c r="L553" s="271"/>
      <c r="M553" s="271"/>
      <c r="N553" s="271"/>
      <c r="O553" s="271"/>
      <c r="P553" s="271"/>
      <c r="Q553" s="271"/>
      <c r="R553" s="271"/>
      <c r="S553" s="271"/>
      <c r="T553" s="271"/>
      <c r="U553" s="271"/>
      <c r="V553" s="271"/>
      <c r="W553" s="271"/>
      <c r="X553" s="271"/>
      <c r="Y553" s="271"/>
      <c r="Z553" s="271"/>
    </row>
    <row r="554">
      <c r="A554" s="271"/>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row>
    <row r="555">
      <c r="A555" s="271"/>
      <c r="B555" s="271"/>
      <c r="C555" s="271"/>
      <c r="D555" s="271"/>
      <c r="E555" s="271"/>
      <c r="F555" s="271"/>
      <c r="G555" s="271"/>
      <c r="H555" s="271"/>
      <c r="I555" s="271"/>
      <c r="J555" s="271"/>
      <c r="K555" s="271"/>
      <c r="L555" s="271"/>
      <c r="M555" s="271"/>
      <c r="N555" s="271"/>
      <c r="O555" s="271"/>
      <c r="P555" s="271"/>
      <c r="Q555" s="271"/>
      <c r="R555" s="271"/>
      <c r="S555" s="271"/>
      <c r="T555" s="271"/>
      <c r="U555" s="271"/>
      <c r="V555" s="271"/>
      <c r="W555" s="271"/>
      <c r="X555" s="271"/>
      <c r="Y555" s="271"/>
      <c r="Z555" s="271"/>
    </row>
    <row r="556">
      <c r="A556" s="271"/>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row>
    <row r="557">
      <c r="A557" s="271"/>
      <c r="B557" s="271"/>
      <c r="C557" s="271"/>
      <c r="D557" s="271"/>
      <c r="E557" s="271"/>
      <c r="F557" s="271"/>
      <c r="G557" s="271"/>
      <c r="H557" s="271"/>
      <c r="I557" s="271"/>
      <c r="J557" s="271"/>
      <c r="K557" s="271"/>
      <c r="L557" s="271"/>
      <c r="M557" s="271"/>
      <c r="N557" s="271"/>
      <c r="O557" s="271"/>
      <c r="P557" s="271"/>
      <c r="Q557" s="271"/>
      <c r="R557" s="271"/>
      <c r="S557" s="271"/>
      <c r="T557" s="271"/>
      <c r="U557" s="271"/>
      <c r="V557" s="271"/>
      <c r="W557" s="271"/>
      <c r="X557" s="271"/>
      <c r="Y557" s="271"/>
      <c r="Z557" s="271"/>
    </row>
    <row r="558">
      <c r="A558" s="271"/>
      <c r="B558" s="271"/>
      <c r="C558" s="271"/>
      <c r="D558" s="271"/>
      <c r="E558" s="271"/>
      <c r="F558" s="271"/>
      <c r="G558" s="271"/>
      <c r="H558" s="271"/>
      <c r="I558" s="271"/>
      <c r="J558" s="271"/>
      <c r="K558" s="271"/>
      <c r="L558" s="271"/>
      <c r="M558" s="271"/>
      <c r="N558" s="271"/>
      <c r="O558" s="271"/>
      <c r="P558" s="271"/>
      <c r="Q558" s="271"/>
      <c r="R558" s="271"/>
      <c r="S558" s="271"/>
      <c r="T558" s="271"/>
      <c r="U558" s="271"/>
      <c r="V558" s="271"/>
      <c r="W558" s="271"/>
      <c r="X558" s="271"/>
      <c r="Y558" s="271"/>
      <c r="Z558" s="271"/>
    </row>
    <row r="559">
      <c r="A559" s="271"/>
      <c r="B559" s="271"/>
      <c r="C559" s="271"/>
      <c r="D559" s="271"/>
      <c r="E559" s="271"/>
      <c r="F559" s="271"/>
      <c r="G559" s="271"/>
      <c r="H559" s="271"/>
      <c r="I559" s="271"/>
      <c r="J559" s="271"/>
      <c r="K559" s="271"/>
      <c r="L559" s="271"/>
      <c r="M559" s="271"/>
      <c r="N559" s="271"/>
      <c r="O559" s="271"/>
      <c r="P559" s="271"/>
      <c r="Q559" s="271"/>
      <c r="R559" s="271"/>
      <c r="S559" s="271"/>
      <c r="T559" s="271"/>
      <c r="U559" s="271"/>
      <c r="V559" s="271"/>
      <c r="W559" s="271"/>
      <c r="X559" s="271"/>
      <c r="Y559" s="271"/>
      <c r="Z559" s="271"/>
    </row>
    <row r="560">
      <c r="A560" s="271"/>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row>
    <row r="561">
      <c r="A561" s="271"/>
      <c r="B561" s="271"/>
      <c r="C561" s="271"/>
      <c r="D561" s="271"/>
      <c r="E561" s="271"/>
      <c r="F561" s="271"/>
      <c r="G561" s="271"/>
      <c r="H561" s="271"/>
      <c r="I561" s="271"/>
      <c r="J561" s="271"/>
      <c r="K561" s="271"/>
      <c r="L561" s="271"/>
      <c r="M561" s="271"/>
      <c r="N561" s="271"/>
      <c r="O561" s="271"/>
      <c r="P561" s="271"/>
      <c r="Q561" s="271"/>
      <c r="R561" s="271"/>
      <c r="S561" s="271"/>
      <c r="T561" s="271"/>
      <c r="U561" s="271"/>
      <c r="V561" s="271"/>
      <c r="W561" s="271"/>
      <c r="X561" s="271"/>
      <c r="Y561" s="271"/>
      <c r="Z561" s="271"/>
    </row>
    <row r="562">
      <c r="A562" s="271"/>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row>
    <row r="563">
      <c r="A563" s="271"/>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row>
    <row r="564">
      <c r="A564" s="271"/>
      <c r="B564" s="271"/>
      <c r="C564" s="271"/>
      <c r="D564" s="271"/>
      <c r="E564" s="271"/>
      <c r="F564" s="271"/>
      <c r="G564" s="271"/>
      <c r="H564" s="271"/>
      <c r="I564" s="271"/>
      <c r="J564" s="271"/>
      <c r="K564" s="271"/>
      <c r="L564" s="271"/>
      <c r="M564" s="271"/>
      <c r="N564" s="271"/>
      <c r="O564" s="271"/>
      <c r="P564" s="271"/>
      <c r="Q564" s="271"/>
      <c r="R564" s="271"/>
      <c r="S564" s="271"/>
      <c r="T564" s="271"/>
      <c r="U564" s="271"/>
      <c r="V564" s="271"/>
      <c r="W564" s="271"/>
      <c r="X564" s="271"/>
      <c r="Y564" s="271"/>
      <c r="Z564" s="271"/>
    </row>
    <row r="565">
      <c r="A565" s="271"/>
      <c r="B565" s="271"/>
      <c r="C565" s="271"/>
      <c r="D565" s="271"/>
      <c r="E565" s="271"/>
      <c r="F565" s="271"/>
      <c r="G565" s="271"/>
      <c r="H565" s="271"/>
      <c r="I565" s="271"/>
      <c r="J565" s="271"/>
      <c r="K565" s="271"/>
      <c r="L565" s="271"/>
      <c r="M565" s="271"/>
      <c r="N565" s="271"/>
      <c r="O565" s="271"/>
      <c r="P565" s="271"/>
      <c r="Q565" s="271"/>
      <c r="R565" s="271"/>
      <c r="S565" s="271"/>
      <c r="T565" s="271"/>
      <c r="U565" s="271"/>
      <c r="V565" s="271"/>
      <c r="W565" s="271"/>
      <c r="X565" s="271"/>
      <c r="Y565" s="271"/>
      <c r="Z565" s="271"/>
    </row>
    <row r="566">
      <c r="A566" s="271"/>
      <c r="B566" s="271"/>
      <c r="C566" s="271"/>
      <c r="D566" s="271"/>
      <c r="E566" s="271"/>
      <c r="F566" s="271"/>
      <c r="G566" s="271"/>
      <c r="H566" s="271"/>
      <c r="I566" s="271"/>
      <c r="J566" s="271"/>
      <c r="K566" s="271"/>
      <c r="L566" s="271"/>
      <c r="M566" s="271"/>
      <c r="N566" s="271"/>
      <c r="O566" s="271"/>
      <c r="P566" s="271"/>
      <c r="Q566" s="271"/>
      <c r="R566" s="271"/>
      <c r="S566" s="271"/>
      <c r="T566" s="271"/>
      <c r="U566" s="271"/>
      <c r="V566" s="271"/>
      <c r="W566" s="271"/>
      <c r="X566" s="271"/>
      <c r="Y566" s="271"/>
      <c r="Z566" s="271"/>
    </row>
    <row r="567">
      <c r="A567" s="271"/>
      <c r="B567" s="271"/>
      <c r="C567" s="271"/>
      <c r="D567" s="271"/>
      <c r="E567" s="271"/>
      <c r="F567" s="271"/>
      <c r="G567" s="271"/>
      <c r="H567" s="271"/>
      <c r="I567" s="271"/>
      <c r="J567" s="271"/>
      <c r="K567" s="271"/>
      <c r="L567" s="271"/>
      <c r="M567" s="271"/>
      <c r="N567" s="271"/>
      <c r="O567" s="271"/>
      <c r="P567" s="271"/>
      <c r="Q567" s="271"/>
      <c r="R567" s="271"/>
      <c r="S567" s="271"/>
      <c r="T567" s="271"/>
      <c r="U567" s="271"/>
      <c r="V567" s="271"/>
      <c r="W567" s="271"/>
      <c r="X567" s="271"/>
      <c r="Y567" s="271"/>
      <c r="Z567" s="271"/>
    </row>
    <row r="568">
      <c r="A568" s="271"/>
      <c r="B568" s="271"/>
      <c r="C568" s="271"/>
      <c r="D568" s="271"/>
      <c r="E568" s="271"/>
      <c r="F568" s="271"/>
      <c r="G568" s="271"/>
      <c r="H568" s="271"/>
      <c r="I568" s="271"/>
      <c r="J568" s="271"/>
      <c r="K568" s="271"/>
      <c r="L568" s="271"/>
      <c r="M568" s="271"/>
      <c r="N568" s="271"/>
      <c r="O568" s="271"/>
      <c r="P568" s="271"/>
      <c r="Q568" s="271"/>
      <c r="R568" s="271"/>
      <c r="S568" s="271"/>
      <c r="T568" s="271"/>
      <c r="U568" s="271"/>
      <c r="V568" s="271"/>
      <c r="W568" s="271"/>
      <c r="X568" s="271"/>
      <c r="Y568" s="271"/>
      <c r="Z568" s="271"/>
    </row>
    <row r="569">
      <c r="A569" s="271"/>
      <c r="B569" s="271"/>
      <c r="C569" s="271"/>
      <c r="D569" s="271"/>
      <c r="E569" s="271"/>
      <c r="F569" s="271"/>
      <c r="G569" s="271"/>
      <c r="H569" s="271"/>
      <c r="I569" s="271"/>
      <c r="J569" s="271"/>
      <c r="K569" s="271"/>
      <c r="L569" s="271"/>
      <c r="M569" s="271"/>
      <c r="N569" s="271"/>
      <c r="O569" s="271"/>
      <c r="P569" s="271"/>
      <c r="Q569" s="271"/>
      <c r="R569" s="271"/>
      <c r="S569" s="271"/>
      <c r="T569" s="271"/>
      <c r="U569" s="271"/>
      <c r="V569" s="271"/>
      <c r="W569" s="271"/>
      <c r="X569" s="271"/>
      <c r="Y569" s="271"/>
      <c r="Z569" s="271"/>
    </row>
    <row r="570">
      <c r="A570" s="271"/>
      <c r="B570" s="271"/>
      <c r="C570" s="271"/>
      <c r="D570" s="271"/>
      <c r="E570" s="271"/>
      <c r="F570" s="271"/>
      <c r="G570" s="271"/>
      <c r="H570" s="271"/>
      <c r="I570" s="271"/>
      <c r="J570" s="271"/>
      <c r="K570" s="271"/>
      <c r="L570" s="271"/>
      <c r="M570" s="271"/>
      <c r="N570" s="271"/>
      <c r="O570" s="271"/>
      <c r="P570" s="271"/>
      <c r="Q570" s="271"/>
      <c r="R570" s="271"/>
      <c r="S570" s="271"/>
      <c r="T570" s="271"/>
      <c r="U570" s="271"/>
      <c r="V570" s="271"/>
      <c r="W570" s="271"/>
      <c r="X570" s="271"/>
      <c r="Y570" s="271"/>
      <c r="Z570" s="271"/>
    </row>
    <row r="571">
      <c r="A571" s="271"/>
      <c r="B571" s="271"/>
      <c r="C571" s="271"/>
      <c r="D571" s="271"/>
      <c r="E571" s="271"/>
      <c r="F571" s="271"/>
      <c r="G571" s="271"/>
      <c r="H571" s="271"/>
      <c r="I571" s="271"/>
      <c r="J571" s="271"/>
      <c r="K571" s="271"/>
      <c r="L571" s="271"/>
      <c r="M571" s="271"/>
      <c r="N571" s="271"/>
      <c r="O571" s="271"/>
      <c r="P571" s="271"/>
      <c r="Q571" s="271"/>
      <c r="R571" s="271"/>
      <c r="S571" s="271"/>
      <c r="T571" s="271"/>
      <c r="U571" s="271"/>
      <c r="V571" s="271"/>
      <c r="W571" s="271"/>
      <c r="X571" s="271"/>
      <c r="Y571" s="271"/>
      <c r="Z571" s="271"/>
    </row>
    <row r="572">
      <c r="A572" s="271"/>
      <c r="B572" s="271"/>
      <c r="C572" s="271"/>
      <c r="D572" s="271"/>
      <c r="E572" s="271"/>
      <c r="F572" s="271"/>
      <c r="G572" s="271"/>
      <c r="H572" s="271"/>
      <c r="I572" s="271"/>
      <c r="J572" s="271"/>
      <c r="K572" s="271"/>
      <c r="L572" s="271"/>
      <c r="M572" s="271"/>
      <c r="N572" s="271"/>
      <c r="O572" s="271"/>
      <c r="P572" s="271"/>
      <c r="Q572" s="271"/>
      <c r="R572" s="271"/>
      <c r="S572" s="271"/>
      <c r="T572" s="271"/>
      <c r="U572" s="271"/>
      <c r="V572" s="271"/>
      <c r="W572" s="271"/>
      <c r="X572" s="271"/>
      <c r="Y572" s="271"/>
      <c r="Z572" s="271"/>
    </row>
    <row r="573">
      <c r="A573" s="271"/>
      <c r="B573" s="271"/>
      <c r="C573" s="271"/>
      <c r="D573" s="271"/>
      <c r="E573" s="271"/>
      <c r="F573" s="271"/>
      <c r="G573" s="271"/>
      <c r="H573" s="271"/>
      <c r="I573" s="271"/>
      <c r="J573" s="271"/>
      <c r="K573" s="271"/>
      <c r="L573" s="271"/>
      <c r="M573" s="271"/>
      <c r="N573" s="271"/>
      <c r="O573" s="271"/>
      <c r="P573" s="271"/>
      <c r="Q573" s="271"/>
      <c r="R573" s="271"/>
      <c r="S573" s="271"/>
      <c r="T573" s="271"/>
      <c r="U573" s="271"/>
      <c r="V573" s="271"/>
      <c r="W573" s="271"/>
      <c r="X573" s="271"/>
      <c r="Y573" s="271"/>
      <c r="Z573" s="271"/>
    </row>
    <row r="574">
      <c r="A574" s="271"/>
      <c r="B574" s="271"/>
      <c r="C574" s="271"/>
      <c r="D574" s="271"/>
      <c r="E574" s="271"/>
      <c r="F574" s="271"/>
      <c r="G574" s="271"/>
      <c r="H574" s="271"/>
      <c r="I574" s="271"/>
      <c r="J574" s="271"/>
      <c r="K574" s="271"/>
      <c r="L574" s="271"/>
      <c r="M574" s="271"/>
      <c r="N574" s="271"/>
      <c r="O574" s="271"/>
      <c r="P574" s="271"/>
      <c r="Q574" s="271"/>
      <c r="R574" s="271"/>
      <c r="S574" s="271"/>
      <c r="T574" s="271"/>
      <c r="U574" s="271"/>
      <c r="V574" s="271"/>
      <c r="W574" s="271"/>
      <c r="X574" s="271"/>
      <c r="Y574" s="271"/>
      <c r="Z574" s="271"/>
    </row>
    <row r="575">
      <c r="A575" s="271"/>
      <c r="B575" s="271"/>
      <c r="C575" s="271"/>
      <c r="D575" s="271"/>
      <c r="E575" s="271"/>
      <c r="F575" s="271"/>
      <c r="G575" s="271"/>
      <c r="H575" s="271"/>
      <c r="I575" s="271"/>
      <c r="J575" s="271"/>
      <c r="K575" s="271"/>
      <c r="L575" s="271"/>
      <c r="M575" s="271"/>
      <c r="N575" s="271"/>
      <c r="O575" s="271"/>
      <c r="P575" s="271"/>
      <c r="Q575" s="271"/>
      <c r="R575" s="271"/>
      <c r="S575" s="271"/>
      <c r="T575" s="271"/>
      <c r="U575" s="271"/>
      <c r="V575" s="271"/>
      <c r="W575" s="271"/>
      <c r="X575" s="271"/>
      <c r="Y575" s="271"/>
      <c r="Z575" s="271"/>
    </row>
    <row r="576">
      <c r="A576" s="271"/>
      <c r="B576" s="271"/>
      <c r="C576" s="271"/>
      <c r="D576" s="271"/>
      <c r="E576" s="271"/>
      <c r="F576" s="271"/>
      <c r="G576" s="271"/>
      <c r="H576" s="271"/>
      <c r="I576" s="271"/>
      <c r="J576" s="271"/>
      <c r="K576" s="271"/>
      <c r="L576" s="271"/>
      <c r="M576" s="271"/>
      <c r="N576" s="271"/>
      <c r="O576" s="271"/>
      <c r="P576" s="271"/>
      <c r="Q576" s="271"/>
      <c r="R576" s="271"/>
      <c r="S576" s="271"/>
      <c r="T576" s="271"/>
      <c r="U576" s="271"/>
      <c r="V576" s="271"/>
      <c r="W576" s="271"/>
      <c r="X576" s="271"/>
      <c r="Y576" s="271"/>
      <c r="Z576" s="271"/>
    </row>
    <row r="577">
      <c r="A577" s="271"/>
      <c r="B577" s="271"/>
      <c r="C577" s="271"/>
      <c r="D577" s="271"/>
      <c r="E577" s="271"/>
      <c r="F577" s="271"/>
      <c r="G577" s="271"/>
      <c r="H577" s="271"/>
      <c r="I577" s="271"/>
      <c r="J577" s="271"/>
      <c r="K577" s="271"/>
      <c r="L577" s="271"/>
      <c r="M577" s="271"/>
      <c r="N577" s="271"/>
      <c r="O577" s="271"/>
      <c r="P577" s="271"/>
      <c r="Q577" s="271"/>
      <c r="R577" s="271"/>
      <c r="S577" s="271"/>
      <c r="T577" s="271"/>
      <c r="U577" s="271"/>
      <c r="V577" s="271"/>
      <c r="W577" s="271"/>
      <c r="X577" s="271"/>
      <c r="Y577" s="271"/>
      <c r="Z577" s="271"/>
    </row>
    <row r="578">
      <c r="A578" s="271"/>
      <c r="B578" s="271"/>
      <c r="C578" s="271"/>
      <c r="D578" s="271"/>
      <c r="E578" s="271"/>
      <c r="F578" s="271"/>
      <c r="G578" s="271"/>
      <c r="H578" s="271"/>
      <c r="I578" s="271"/>
      <c r="J578" s="271"/>
      <c r="K578" s="271"/>
      <c r="L578" s="271"/>
      <c r="M578" s="271"/>
      <c r="N578" s="271"/>
      <c r="O578" s="271"/>
      <c r="P578" s="271"/>
      <c r="Q578" s="271"/>
      <c r="R578" s="271"/>
      <c r="S578" s="271"/>
      <c r="T578" s="271"/>
      <c r="U578" s="271"/>
      <c r="V578" s="271"/>
      <c r="W578" s="271"/>
      <c r="X578" s="271"/>
      <c r="Y578" s="271"/>
      <c r="Z578" s="271"/>
    </row>
    <row r="579">
      <c r="A579" s="271"/>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row>
    <row r="580">
      <c r="A580" s="271"/>
      <c r="B580" s="271"/>
      <c r="C580" s="271"/>
      <c r="D580" s="271"/>
      <c r="E580" s="271"/>
      <c r="F580" s="271"/>
      <c r="G580" s="271"/>
      <c r="H580" s="271"/>
      <c r="I580" s="271"/>
      <c r="J580" s="271"/>
      <c r="K580" s="271"/>
      <c r="L580" s="271"/>
      <c r="M580" s="271"/>
      <c r="N580" s="271"/>
      <c r="O580" s="271"/>
      <c r="P580" s="271"/>
      <c r="Q580" s="271"/>
      <c r="R580" s="271"/>
      <c r="S580" s="271"/>
      <c r="T580" s="271"/>
      <c r="U580" s="271"/>
      <c r="V580" s="271"/>
      <c r="W580" s="271"/>
      <c r="X580" s="271"/>
      <c r="Y580" s="271"/>
      <c r="Z580" s="271"/>
    </row>
    <row r="581">
      <c r="A581" s="271"/>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row>
    <row r="582">
      <c r="A582" s="271"/>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row>
    <row r="583">
      <c r="A583" s="271"/>
      <c r="B583" s="271"/>
      <c r="C583" s="271"/>
      <c r="D583" s="271"/>
      <c r="E583" s="271"/>
      <c r="F583" s="271"/>
      <c r="G583" s="271"/>
      <c r="H583" s="271"/>
      <c r="I583" s="271"/>
      <c r="J583" s="271"/>
      <c r="K583" s="271"/>
      <c r="L583" s="271"/>
      <c r="M583" s="271"/>
      <c r="N583" s="271"/>
      <c r="O583" s="271"/>
      <c r="P583" s="271"/>
      <c r="Q583" s="271"/>
      <c r="R583" s="271"/>
      <c r="S583" s="271"/>
      <c r="T583" s="271"/>
      <c r="U583" s="271"/>
      <c r="V583" s="271"/>
      <c r="W583" s="271"/>
      <c r="X583" s="271"/>
      <c r="Y583" s="271"/>
      <c r="Z583" s="271"/>
    </row>
    <row r="584">
      <c r="A584" s="271"/>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row>
    <row r="585">
      <c r="A585" s="271"/>
      <c r="B585" s="271"/>
      <c r="C585" s="271"/>
      <c r="D585" s="271"/>
      <c r="E585" s="271"/>
      <c r="F585" s="271"/>
      <c r="G585" s="271"/>
      <c r="H585" s="271"/>
      <c r="I585" s="271"/>
      <c r="J585" s="271"/>
      <c r="K585" s="271"/>
      <c r="L585" s="271"/>
      <c r="M585" s="271"/>
      <c r="N585" s="271"/>
      <c r="O585" s="271"/>
      <c r="P585" s="271"/>
      <c r="Q585" s="271"/>
      <c r="R585" s="271"/>
      <c r="S585" s="271"/>
      <c r="T585" s="271"/>
      <c r="U585" s="271"/>
      <c r="V585" s="271"/>
      <c r="W585" s="271"/>
      <c r="X585" s="271"/>
      <c r="Y585" s="271"/>
      <c r="Z585" s="271"/>
    </row>
    <row r="586">
      <c r="A586" s="271"/>
      <c r="B586" s="271"/>
      <c r="C586" s="271"/>
      <c r="D586" s="271"/>
      <c r="E586" s="271"/>
      <c r="F586" s="271"/>
      <c r="G586" s="271"/>
      <c r="H586" s="271"/>
      <c r="I586" s="271"/>
      <c r="J586" s="271"/>
      <c r="K586" s="271"/>
      <c r="L586" s="271"/>
      <c r="M586" s="271"/>
      <c r="N586" s="271"/>
      <c r="O586" s="271"/>
      <c r="P586" s="271"/>
      <c r="Q586" s="271"/>
      <c r="R586" s="271"/>
      <c r="S586" s="271"/>
      <c r="T586" s="271"/>
      <c r="U586" s="271"/>
      <c r="V586" s="271"/>
      <c r="W586" s="271"/>
      <c r="X586" s="271"/>
      <c r="Y586" s="271"/>
      <c r="Z586" s="271"/>
    </row>
    <row r="587">
      <c r="A587" s="271"/>
      <c r="B587" s="271"/>
      <c r="C587" s="271"/>
      <c r="D587" s="271"/>
      <c r="E587" s="271"/>
      <c r="F587" s="271"/>
      <c r="G587" s="271"/>
      <c r="H587" s="271"/>
      <c r="I587" s="271"/>
      <c r="J587" s="271"/>
      <c r="K587" s="271"/>
      <c r="L587" s="271"/>
      <c r="M587" s="271"/>
      <c r="N587" s="271"/>
      <c r="O587" s="271"/>
      <c r="P587" s="271"/>
      <c r="Q587" s="271"/>
      <c r="R587" s="271"/>
      <c r="S587" s="271"/>
      <c r="T587" s="271"/>
      <c r="U587" s="271"/>
      <c r="V587" s="271"/>
      <c r="W587" s="271"/>
      <c r="X587" s="271"/>
      <c r="Y587" s="271"/>
      <c r="Z587" s="271"/>
    </row>
    <row r="588">
      <c r="A588" s="271"/>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row>
    <row r="589">
      <c r="A589" s="271"/>
      <c r="B589" s="271"/>
      <c r="C589" s="271"/>
      <c r="D589" s="271"/>
      <c r="E589" s="271"/>
      <c r="F589" s="271"/>
      <c r="G589" s="271"/>
      <c r="H589" s="271"/>
      <c r="I589" s="271"/>
      <c r="J589" s="271"/>
      <c r="K589" s="271"/>
      <c r="L589" s="271"/>
      <c r="M589" s="271"/>
      <c r="N589" s="271"/>
      <c r="O589" s="271"/>
      <c r="P589" s="271"/>
      <c r="Q589" s="271"/>
      <c r="R589" s="271"/>
      <c r="S589" s="271"/>
      <c r="T589" s="271"/>
      <c r="U589" s="271"/>
      <c r="V589" s="271"/>
      <c r="W589" s="271"/>
      <c r="X589" s="271"/>
      <c r="Y589" s="271"/>
      <c r="Z589" s="271"/>
    </row>
    <row r="590">
      <c r="A590" s="271"/>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row>
    <row r="591">
      <c r="A591" s="271"/>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row>
    <row r="592">
      <c r="A592" s="271"/>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row>
    <row r="593">
      <c r="A593" s="271"/>
      <c r="B593" s="271"/>
      <c r="C593" s="271"/>
      <c r="D593" s="271"/>
      <c r="E593" s="271"/>
      <c r="F593" s="271"/>
      <c r="G593" s="271"/>
      <c r="H593" s="271"/>
      <c r="I593" s="271"/>
      <c r="J593" s="271"/>
      <c r="K593" s="271"/>
      <c r="L593" s="271"/>
      <c r="M593" s="271"/>
      <c r="N593" s="271"/>
      <c r="O593" s="271"/>
      <c r="P593" s="271"/>
      <c r="Q593" s="271"/>
      <c r="R593" s="271"/>
      <c r="S593" s="271"/>
      <c r="T593" s="271"/>
      <c r="U593" s="271"/>
      <c r="V593" s="271"/>
      <c r="W593" s="271"/>
      <c r="X593" s="271"/>
      <c r="Y593" s="271"/>
      <c r="Z593" s="271"/>
    </row>
    <row r="594">
      <c r="A594" s="271"/>
      <c r="B594" s="271"/>
      <c r="C594" s="271"/>
      <c r="D594" s="271"/>
      <c r="E594" s="271"/>
      <c r="F594" s="271"/>
      <c r="G594" s="271"/>
      <c r="H594" s="271"/>
      <c r="I594" s="271"/>
      <c r="J594" s="271"/>
      <c r="K594" s="271"/>
      <c r="L594" s="271"/>
      <c r="M594" s="271"/>
      <c r="N594" s="271"/>
      <c r="O594" s="271"/>
      <c r="P594" s="271"/>
      <c r="Q594" s="271"/>
      <c r="R594" s="271"/>
      <c r="S594" s="271"/>
      <c r="T594" s="271"/>
      <c r="U594" s="271"/>
      <c r="V594" s="271"/>
      <c r="W594" s="271"/>
      <c r="X594" s="271"/>
      <c r="Y594" s="271"/>
      <c r="Z594" s="271"/>
    </row>
    <row r="595">
      <c r="A595" s="271"/>
      <c r="B595" s="271"/>
      <c r="C595" s="271"/>
      <c r="D595" s="271"/>
      <c r="E595" s="271"/>
      <c r="F595" s="271"/>
      <c r="G595" s="271"/>
      <c r="H595" s="271"/>
      <c r="I595" s="271"/>
      <c r="J595" s="271"/>
      <c r="K595" s="271"/>
      <c r="L595" s="271"/>
      <c r="M595" s="271"/>
      <c r="N595" s="271"/>
      <c r="O595" s="271"/>
      <c r="P595" s="271"/>
      <c r="Q595" s="271"/>
      <c r="R595" s="271"/>
      <c r="S595" s="271"/>
      <c r="T595" s="271"/>
      <c r="U595" s="271"/>
      <c r="V595" s="271"/>
      <c r="W595" s="271"/>
      <c r="X595" s="271"/>
      <c r="Y595" s="271"/>
      <c r="Z595" s="271"/>
    </row>
    <row r="596">
      <c r="A596" s="271"/>
      <c r="B596" s="271"/>
      <c r="C596" s="271"/>
      <c r="D596" s="271"/>
      <c r="E596" s="271"/>
      <c r="F596" s="271"/>
      <c r="G596" s="271"/>
      <c r="H596" s="271"/>
      <c r="I596" s="271"/>
      <c r="J596" s="271"/>
      <c r="K596" s="271"/>
      <c r="L596" s="271"/>
      <c r="M596" s="271"/>
      <c r="N596" s="271"/>
      <c r="O596" s="271"/>
      <c r="P596" s="271"/>
      <c r="Q596" s="271"/>
      <c r="R596" s="271"/>
      <c r="S596" s="271"/>
      <c r="T596" s="271"/>
      <c r="U596" s="271"/>
      <c r="V596" s="271"/>
      <c r="W596" s="271"/>
      <c r="X596" s="271"/>
      <c r="Y596" s="271"/>
      <c r="Z596" s="271"/>
    </row>
    <row r="597">
      <c r="A597" s="271"/>
      <c r="B597" s="271"/>
      <c r="C597" s="271"/>
      <c r="D597" s="271"/>
      <c r="E597" s="271"/>
      <c r="F597" s="271"/>
      <c r="G597" s="271"/>
      <c r="H597" s="271"/>
      <c r="I597" s="271"/>
      <c r="J597" s="271"/>
      <c r="K597" s="271"/>
      <c r="L597" s="271"/>
      <c r="M597" s="271"/>
      <c r="N597" s="271"/>
      <c r="O597" s="271"/>
      <c r="P597" s="271"/>
      <c r="Q597" s="271"/>
      <c r="R597" s="271"/>
      <c r="S597" s="271"/>
      <c r="T597" s="271"/>
      <c r="U597" s="271"/>
      <c r="V597" s="271"/>
      <c r="W597" s="271"/>
      <c r="X597" s="271"/>
      <c r="Y597" s="271"/>
      <c r="Z597" s="271"/>
    </row>
    <row r="598">
      <c r="A598" s="271"/>
      <c r="B598" s="271"/>
      <c r="C598" s="271"/>
      <c r="D598" s="271"/>
      <c r="E598" s="271"/>
      <c r="F598" s="271"/>
      <c r="G598" s="271"/>
      <c r="H598" s="271"/>
      <c r="I598" s="271"/>
      <c r="J598" s="271"/>
      <c r="K598" s="271"/>
      <c r="L598" s="271"/>
      <c r="M598" s="271"/>
      <c r="N598" s="271"/>
      <c r="O598" s="271"/>
      <c r="P598" s="271"/>
      <c r="Q598" s="271"/>
      <c r="R598" s="271"/>
      <c r="S598" s="271"/>
      <c r="T598" s="271"/>
      <c r="U598" s="271"/>
      <c r="V598" s="271"/>
      <c r="W598" s="271"/>
      <c r="X598" s="271"/>
      <c r="Y598" s="271"/>
      <c r="Z598" s="271"/>
    </row>
    <row r="599">
      <c r="A599" s="271"/>
      <c r="B599" s="271"/>
      <c r="C599" s="271"/>
      <c r="D599" s="271"/>
      <c r="E599" s="271"/>
      <c r="F599" s="271"/>
      <c r="G599" s="271"/>
      <c r="H599" s="271"/>
      <c r="I599" s="271"/>
      <c r="J599" s="271"/>
      <c r="K599" s="271"/>
      <c r="L599" s="271"/>
      <c r="M599" s="271"/>
      <c r="N599" s="271"/>
      <c r="O599" s="271"/>
      <c r="P599" s="271"/>
      <c r="Q599" s="271"/>
      <c r="R599" s="271"/>
      <c r="S599" s="271"/>
      <c r="T599" s="271"/>
      <c r="U599" s="271"/>
      <c r="V599" s="271"/>
      <c r="W599" s="271"/>
      <c r="X599" s="271"/>
      <c r="Y599" s="271"/>
      <c r="Z599" s="271"/>
    </row>
    <row r="600">
      <c r="A600" s="271"/>
      <c r="B600" s="271"/>
      <c r="C600" s="271"/>
      <c r="D600" s="271"/>
      <c r="E600" s="271"/>
      <c r="F600" s="271"/>
      <c r="G600" s="271"/>
      <c r="H600" s="271"/>
      <c r="I600" s="271"/>
      <c r="J600" s="271"/>
      <c r="K600" s="271"/>
      <c r="L600" s="271"/>
      <c r="M600" s="271"/>
      <c r="N600" s="271"/>
      <c r="O600" s="271"/>
      <c r="P600" s="271"/>
      <c r="Q600" s="271"/>
      <c r="R600" s="271"/>
      <c r="S600" s="271"/>
      <c r="T600" s="271"/>
      <c r="U600" s="271"/>
      <c r="V600" s="271"/>
      <c r="W600" s="271"/>
      <c r="X600" s="271"/>
      <c r="Y600" s="271"/>
      <c r="Z600" s="271"/>
    </row>
    <row r="601">
      <c r="A601" s="271"/>
      <c r="B601" s="271"/>
      <c r="C601" s="271"/>
      <c r="D601" s="271"/>
      <c r="E601" s="271"/>
      <c r="F601" s="271"/>
      <c r="G601" s="271"/>
      <c r="H601" s="271"/>
      <c r="I601" s="271"/>
      <c r="J601" s="271"/>
      <c r="K601" s="271"/>
      <c r="L601" s="271"/>
      <c r="M601" s="271"/>
      <c r="N601" s="271"/>
      <c r="O601" s="271"/>
      <c r="P601" s="271"/>
      <c r="Q601" s="271"/>
      <c r="R601" s="271"/>
      <c r="S601" s="271"/>
      <c r="T601" s="271"/>
      <c r="U601" s="271"/>
      <c r="V601" s="271"/>
      <c r="W601" s="271"/>
      <c r="X601" s="271"/>
      <c r="Y601" s="271"/>
      <c r="Z601" s="271"/>
    </row>
    <row r="602">
      <c r="A602" s="271"/>
      <c r="B602" s="271"/>
      <c r="C602" s="271"/>
      <c r="D602" s="271"/>
      <c r="E602" s="271"/>
      <c r="F602" s="271"/>
      <c r="G602" s="271"/>
      <c r="H602" s="271"/>
      <c r="I602" s="271"/>
      <c r="J602" s="271"/>
      <c r="K602" s="271"/>
      <c r="L602" s="271"/>
      <c r="M602" s="271"/>
      <c r="N602" s="271"/>
      <c r="O602" s="271"/>
      <c r="P602" s="271"/>
      <c r="Q602" s="271"/>
      <c r="R602" s="271"/>
      <c r="S602" s="271"/>
      <c r="T602" s="271"/>
      <c r="U602" s="271"/>
      <c r="V602" s="271"/>
      <c r="W602" s="271"/>
      <c r="X602" s="271"/>
      <c r="Y602" s="271"/>
      <c r="Z602" s="271"/>
    </row>
    <row r="603">
      <c r="A603" s="271"/>
      <c r="B603" s="271"/>
      <c r="C603" s="271"/>
      <c r="D603" s="271"/>
      <c r="E603" s="271"/>
      <c r="F603" s="271"/>
      <c r="G603" s="271"/>
      <c r="H603" s="271"/>
      <c r="I603" s="271"/>
      <c r="J603" s="271"/>
      <c r="K603" s="271"/>
      <c r="L603" s="271"/>
      <c r="M603" s="271"/>
      <c r="N603" s="271"/>
      <c r="O603" s="271"/>
      <c r="P603" s="271"/>
      <c r="Q603" s="271"/>
      <c r="R603" s="271"/>
      <c r="S603" s="271"/>
      <c r="T603" s="271"/>
      <c r="U603" s="271"/>
      <c r="V603" s="271"/>
      <c r="W603" s="271"/>
      <c r="X603" s="271"/>
      <c r="Y603" s="271"/>
      <c r="Z603" s="271"/>
    </row>
    <row r="604">
      <c r="A604" s="271"/>
      <c r="B604" s="271"/>
      <c r="C604" s="271"/>
      <c r="D604" s="271"/>
      <c r="E604" s="271"/>
      <c r="F604" s="271"/>
      <c r="G604" s="271"/>
      <c r="H604" s="271"/>
      <c r="I604" s="271"/>
      <c r="J604" s="271"/>
      <c r="K604" s="271"/>
      <c r="L604" s="271"/>
      <c r="M604" s="271"/>
      <c r="N604" s="271"/>
      <c r="O604" s="271"/>
      <c r="P604" s="271"/>
      <c r="Q604" s="271"/>
      <c r="R604" s="271"/>
      <c r="S604" s="271"/>
      <c r="T604" s="271"/>
      <c r="U604" s="271"/>
      <c r="V604" s="271"/>
      <c r="W604" s="271"/>
      <c r="X604" s="271"/>
      <c r="Y604" s="271"/>
      <c r="Z604" s="271"/>
    </row>
    <row r="605">
      <c r="A605" s="271"/>
      <c r="B605" s="271"/>
      <c r="C605" s="271"/>
      <c r="D605" s="271"/>
      <c r="E605" s="271"/>
      <c r="F605" s="271"/>
      <c r="G605" s="271"/>
      <c r="H605" s="271"/>
      <c r="I605" s="271"/>
      <c r="J605" s="271"/>
      <c r="K605" s="271"/>
      <c r="L605" s="271"/>
      <c r="M605" s="271"/>
      <c r="N605" s="271"/>
      <c r="O605" s="271"/>
      <c r="P605" s="271"/>
      <c r="Q605" s="271"/>
      <c r="R605" s="271"/>
      <c r="S605" s="271"/>
      <c r="T605" s="271"/>
      <c r="U605" s="271"/>
      <c r="V605" s="271"/>
      <c r="W605" s="271"/>
      <c r="X605" s="271"/>
      <c r="Y605" s="271"/>
      <c r="Z605" s="271"/>
    </row>
    <row r="606">
      <c r="A606" s="271"/>
      <c r="B606" s="271"/>
      <c r="C606" s="271"/>
      <c r="D606" s="271"/>
      <c r="E606" s="271"/>
      <c r="F606" s="271"/>
      <c r="G606" s="271"/>
      <c r="H606" s="271"/>
      <c r="I606" s="271"/>
      <c r="J606" s="271"/>
      <c r="K606" s="271"/>
      <c r="L606" s="271"/>
      <c r="M606" s="271"/>
      <c r="N606" s="271"/>
      <c r="O606" s="271"/>
      <c r="P606" s="271"/>
      <c r="Q606" s="271"/>
      <c r="R606" s="271"/>
      <c r="S606" s="271"/>
      <c r="T606" s="271"/>
      <c r="U606" s="271"/>
      <c r="V606" s="271"/>
      <c r="W606" s="271"/>
      <c r="X606" s="271"/>
      <c r="Y606" s="271"/>
      <c r="Z606" s="271"/>
    </row>
    <row r="607">
      <c r="A607" s="271"/>
      <c r="B607" s="271"/>
      <c r="C607" s="271"/>
      <c r="D607" s="271"/>
      <c r="E607" s="271"/>
      <c r="F607" s="271"/>
      <c r="G607" s="271"/>
      <c r="H607" s="271"/>
      <c r="I607" s="271"/>
      <c r="J607" s="271"/>
      <c r="K607" s="271"/>
      <c r="L607" s="271"/>
      <c r="M607" s="271"/>
      <c r="N607" s="271"/>
      <c r="O607" s="271"/>
      <c r="P607" s="271"/>
      <c r="Q607" s="271"/>
      <c r="R607" s="271"/>
      <c r="S607" s="271"/>
      <c r="T607" s="271"/>
      <c r="U607" s="271"/>
      <c r="V607" s="271"/>
      <c r="W607" s="271"/>
      <c r="X607" s="271"/>
      <c r="Y607" s="271"/>
      <c r="Z607" s="271"/>
    </row>
    <row r="608">
      <c r="A608" s="271"/>
      <c r="B608" s="271"/>
      <c r="C608" s="271"/>
      <c r="D608" s="271"/>
      <c r="E608" s="271"/>
      <c r="F608" s="271"/>
      <c r="G608" s="271"/>
      <c r="H608" s="271"/>
      <c r="I608" s="271"/>
      <c r="J608" s="271"/>
      <c r="K608" s="271"/>
      <c r="L608" s="271"/>
      <c r="M608" s="271"/>
      <c r="N608" s="271"/>
      <c r="O608" s="271"/>
      <c r="P608" s="271"/>
      <c r="Q608" s="271"/>
      <c r="R608" s="271"/>
      <c r="S608" s="271"/>
      <c r="T608" s="271"/>
      <c r="U608" s="271"/>
      <c r="V608" s="271"/>
      <c r="W608" s="271"/>
      <c r="X608" s="271"/>
      <c r="Y608" s="271"/>
      <c r="Z608" s="271"/>
    </row>
    <row r="609">
      <c r="A609" s="271"/>
      <c r="B609" s="271"/>
      <c r="C609" s="271"/>
      <c r="D609" s="271"/>
      <c r="E609" s="271"/>
      <c r="F609" s="271"/>
      <c r="G609" s="271"/>
      <c r="H609" s="271"/>
      <c r="I609" s="271"/>
      <c r="J609" s="271"/>
      <c r="K609" s="271"/>
      <c r="L609" s="271"/>
      <c r="M609" s="271"/>
      <c r="N609" s="271"/>
      <c r="O609" s="271"/>
      <c r="P609" s="271"/>
      <c r="Q609" s="271"/>
      <c r="R609" s="271"/>
      <c r="S609" s="271"/>
      <c r="T609" s="271"/>
      <c r="U609" s="271"/>
      <c r="V609" s="271"/>
      <c r="W609" s="271"/>
      <c r="X609" s="271"/>
      <c r="Y609" s="271"/>
      <c r="Z609" s="271"/>
    </row>
    <row r="610">
      <c r="A610" s="271"/>
      <c r="B610" s="271"/>
      <c r="C610" s="271"/>
      <c r="D610" s="271"/>
      <c r="E610" s="271"/>
      <c r="F610" s="271"/>
      <c r="G610" s="271"/>
      <c r="H610" s="271"/>
      <c r="I610" s="271"/>
      <c r="J610" s="271"/>
      <c r="K610" s="271"/>
      <c r="L610" s="271"/>
      <c r="M610" s="271"/>
      <c r="N610" s="271"/>
      <c r="O610" s="271"/>
      <c r="P610" s="271"/>
      <c r="Q610" s="271"/>
      <c r="R610" s="271"/>
      <c r="S610" s="271"/>
      <c r="T610" s="271"/>
      <c r="U610" s="271"/>
      <c r="V610" s="271"/>
      <c r="W610" s="271"/>
      <c r="X610" s="271"/>
      <c r="Y610" s="271"/>
      <c r="Z610" s="271"/>
    </row>
    <row r="611">
      <c r="A611" s="271"/>
      <c r="B611" s="271"/>
      <c r="C611" s="271"/>
      <c r="D611" s="271"/>
      <c r="E611" s="271"/>
      <c r="F611" s="271"/>
      <c r="G611" s="271"/>
      <c r="H611" s="271"/>
      <c r="I611" s="271"/>
      <c r="J611" s="271"/>
      <c r="K611" s="271"/>
      <c r="L611" s="271"/>
      <c r="M611" s="271"/>
      <c r="N611" s="271"/>
      <c r="O611" s="271"/>
      <c r="P611" s="271"/>
      <c r="Q611" s="271"/>
      <c r="R611" s="271"/>
      <c r="S611" s="271"/>
      <c r="T611" s="271"/>
      <c r="U611" s="271"/>
      <c r="V611" s="271"/>
      <c r="W611" s="271"/>
      <c r="X611" s="271"/>
      <c r="Y611" s="271"/>
      <c r="Z611" s="271"/>
    </row>
    <row r="612">
      <c r="A612" s="271"/>
      <c r="B612" s="271"/>
      <c r="C612" s="271"/>
      <c r="D612" s="271"/>
      <c r="E612" s="271"/>
      <c r="F612" s="271"/>
      <c r="G612" s="271"/>
      <c r="H612" s="271"/>
      <c r="I612" s="271"/>
      <c r="J612" s="271"/>
      <c r="K612" s="271"/>
      <c r="L612" s="271"/>
      <c r="M612" s="271"/>
      <c r="N612" s="271"/>
      <c r="O612" s="271"/>
      <c r="P612" s="271"/>
      <c r="Q612" s="271"/>
      <c r="R612" s="271"/>
      <c r="S612" s="271"/>
      <c r="T612" s="271"/>
      <c r="U612" s="271"/>
      <c r="V612" s="271"/>
      <c r="W612" s="271"/>
      <c r="X612" s="271"/>
      <c r="Y612" s="271"/>
      <c r="Z612" s="271"/>
    </row>
    <row r="613">
      <c r="A613" s="271"/>
      <c r="B613" s="271"/>
      <c r="C613" s="271"/>
      <c r="D613" s="271"/>
      <c r="E613" s="271"/>
      <c r="F613" s="271"/>
      <c r="G613" s="271"/>
      <c r="H613" s="271"/>
      <c r="I613" s="271"/>
      <c r="J613" s="271"/>
      <c r="K613" s="271"/>
      <c r="L613" s="271"/>
      <c r="M613" s="271"/>
      <c r="N613" s="271"/>
      <c r="O613" s="271"/>
      <c r="P613" s="271"/>
      <c r="Q613" s="271"/>
      <c r="R613" s="271"/>
      <c r="S613" s="271"/>
      <c r="T613" s="271"/>
      <c r="U613" s="271"/>
      <c r="V613" s="271"/>
      <c r="W613" s="271"/>
      <c r="X613" s="271"/>
      <c r="Y613" s="271"/>
      <c r="Z613" s="271"/>
    </row>
    <row r="614">
      <c r="A614" s="271"/>
      <c r="B614" s="271"/>
      <c r="C614" s="271"/>
      <c r="D614" s="271"/>
      <c r="E614" s="271"/>
      <c r="F614" s="271"/>
      <c r="G614" s="271"/>
      <c r="H614" s="271"/>
      <c r="I614" s="271"/>
      <c r="J614" s="271"/>
      <c r="K614" s="271"/>
      <c r="L614" s="271"/>
      <c r="M614" s="271"/>
      <c r="N614" s="271"/>
      <c r="O614" s="271"/>
      <c r="P614" s="271"/>
      <c r="Q614" s="271"/>
      <c r="R614" s="271"/>
      <c r="S614" s="271"/>
      <c r="T614" s="271"/>
      <c r="U614" s="271"/>
      <c r="V614" s="271"/>
      <c r="W614" s="271"/>
      <c r="X614" s="271"/>
      <c r="Y614" s="271"/>
      <c r="Z614" s="271"/>
    </row>
    <row r="615">
      <c r="A615" s="271"/>
      <c r="B615" s="271"/>
      <c r="C615" s="271"/>
      <c r="D615" s="271"/>
      <c r="E615" s="271"/>
      <c r="F615" s="271"/>
      <c r="G615" s="271"/>
      <c r="H615" s="271"/>
      <c r="I615" s="271"/>
      <c r="J615" s="271"/>
      <c r="K615" s="271"/>
      <c r="L615" s="271"/>
      <c r="M615" s="271"/>
      <c r="N615" s="271"/>
      <c r="O615" s="271"/>
      <c r="P615" s="271"/>
      <c r="Q615" s="271"/>
      <c r="R615" s="271"/>
      <c r="S615" s="271"/>
      <c r="T615" s="271"/>
      <c r="U615" s="271"/>
      <c r="V615" s="271"/>
      <c r="W615" s="271"/>
      <c r="X615" s="271"/>
      <c r="Y615" s="271"/>
      <c r="Z615" s="271"/>
    </row>
    <row r="616">
      <c r="A616" s="271"/>
      <c r="B616" s="271"/>
      <c r="C616" s="271"/>
      <c r="D616" s="271"/>
      <c r="E616" s="271"/>
      <c r="F616" s="271"/>
      <c r="G616" s="271"/>
      <c r="H616" s="271"/>
      <c r="I616" s="271"/>
      <c r="J616" s="271"/>
      <c r="K616" s="271"/>
      <c r="L616" s="271"/>
      <c r="M616" s="271"/>
      <c r="N616" s="271"/>
      <c r="O616" s="271"/>
      <c r="P616" s="271"/>
      <c r="Q616" s="271"/>
      <c r="R616" s="271"/>
      <c r="S616" s="271"/>
      <c r="T616" s="271"/>
      <c r="U616" s="271"/>
      <c r="V616" s="271"/>
      <c r="W616" s="271"/>
      <c r="X616" s="271"/>
      <c r="Y616" s="271"/>
      <c r="Z616" s="271"/>
    </row>
    <row r="617">
      <c r="A617" s="271"/>
      <c r="B617" s="271"/>
      <c r="C617" s="271"/>
      <c r="D617" s="271"/>
      <c r="E617" s="271"/>
      <c r="F617" s="271"/>
      <c r="G617" s="271"/>
      <c r="H617" s="271"/>
      <c r="I617" s="271"/>
      <c r="J617" s="271"/>
      <c r="K617" s="271"/>
      <c r="L617" s="271"/>
      <c r="M617" s="271"/>
      <c r="N617" s="271"/>
      <c r="O617" s="271"/>
      <c r="P617" s="271"/>
      <c r="Q617" s="271"/>
      <c r="R617" s="271"/>
      <c r="S617" s="271"/>
      <c r="T617" s="271"/>
      <c r="U617" s="271"/>
      <c r="V617" s="271"/>
      <c r="W617" s="271"/>
      <c r="X617" s="271"/>
      <c r="Y617" s="271"/>
      <c r="Z617" s="271"/>
    </row>
    <row r="618">
      <c r="A618" s="271"/>
      <c r="B618" s="271"/>
      <c r="C618" s="271"/>
      <c r="D618" s="271"/>
      <c r="E618" s="271"/>
      <c r="F618" s="271"/>
      <c r="G618" s="271"/>
      <c r="H618" s="271"/>
      <c r="I618" s="271"/>
      <c r="J618" s="271"/>
      <c r="K618" s="271"/>
      <c r="L618" s="271"/>
      <c r="M618" s="271"/>
      <c r="N618" s="271"/>
      <c r="O618" s="271"/>
      <c r="P618" s="271"/>
      <c r="Q618" s="271"/>
      <c r="R618" s="271"/>
      <c r="S618" s="271"/>
      <c r="T618" s="271"/>
      <c r="U618" s="271"/>
      <c r="V618" s="271"/>
      <c r="W618" s="271"/>
      <c r="X618" s="271"/>
      <c r="Y618" s="271"/>
      <c r="Z618" s="271"/>
    </row>
    <row r="619">
      <c r="A619" s="271"/>
      <c r="B619" s="271"/>
      <c r="C619" s="271"/>
      <c r="D619" s="271"/>
      <c r="E619" s="271"/>
      <c r="F619" s="271"/>
      <c r="G619" s="271"/>
      <c r="H619" s="271"/>
      <c r="I619" s="271"/>
      <c r="J619" s="271"/>
      <c r="K619" s="271"/>
      <c r="L619" s="271"/>
      <c r="M619" s="271"/>
      <c r="N619" s="271"/>
      <c r="O619" s="271"/>
      <c r="P619" s="271"/>
      <c r="Q619" s="271"/>
      <c r="R619" s="271"/>
      <c r="S619" s="271"/>
      <c r="T619" s="271"/>
      <c r="U619" s="271"/>
      <c r="V619" s="271"/>
      <c r="W619" s="271"/>
      <c r="X619" s="271"/>
      <c r="Y619" s="271"/>
      <c r="Z619" s="271"/>
    </row>
    <row r="620">
      <c r="A620" s="271"/>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row>
    <row r="621">
      <c r="A621" s="271"/>
      <c r="B621" s="271"/>
      <c r="C621" s="271"/>
      <c r="D621" s="271"/>
      <c r="E621" s="271"/>
      <c r="F621" s="271"/>
      <c r="G621" s="271"/>
      <c r="H621" s="271"/>
      <c r="I621" s="271"/>
      <c r="J621" s="271"/>
      <c r="K621" s="271"/>
      <c r="L621" s="271"/>
      <c r="M621" s="271"/>
      <c r="N621" s="271"/>
      <c r="O621" s="271"/>
      <c r="P621" s="271"/>
      <c r="Q621" s="271"/>
      <c r="R621" s="271"/>
      <c r="S621" s="271"/>
      <c r="T621" s="271"/>
      <c r="U621" s="271"/>
      <c r="V621" s="271"/>
      <c r="W621" s="271"/>
      <c r="X621" s="271"/>
      <c r="Y621" s="271"/>
      <c r="Z621" s="271"/>
    </row>
    <row r="622">
      <c r="A622" s="271"/>
      <c r="B622" s="271"/>
      <c r="C622" s="271"/>
      <c r="D622" s="271"/>
      <c r="E622" s="271"/>
      <c r="F622" s="271"/>
      <c r="G622" s="271"/>
      <c r="H622" s="271"/>
      <c r="I622" s="271"/>
      <c r="J622" s="271"/>
      <c r="K622" s="271"/>
      <c r="L622" s="271"/>
      <c r="M622" s="271"/>
      <c r="N622" s="271"/>
      <c r="O622" s="271"/>
      <c r="P622" s="271"/>
      <c r="Q622" s="271"/>
      <c r="R622" s="271"/>
      <c r="S622" s="271"/>
      <c r="T622" s="271"/>
      <c r="U622" s="271"/>
      <c r="V622" s="271"/>
      <c r="W622" s="271"/>
      <c r="X622" s="271"/>
      <c r="Y622" s="271"/>
      <c r="Z622" s="271"/>
    </row>
    <row r="623">
      <c r="A623" s="271"/>
      <c r="B623" s="271"/>
      <c r="C623" s="271"/>
      <c r="D623" s="271"/>
      <c r="E623" s="271"/>
      <c r="F623" s="271"/>
      <c r="G623" s="271"/>
      <c r="H623" s="271"/>
      <c r="I623" s="271"/>
      <c r="J623" s="271"/>
      <c r="K623" s="271"/>
      <c r="L623" s="271"/>
      <c r="M623" s="271"/>
      <c r="N623" s="271"/>
      <c r="O623" s="271"/>
      <c r="P623" s="271"/>
      <c r="Q623" s="271"/>
      <c r="R623" s="271"/>
      <c r="S623" s="271"/>
      <c r="T623" s="271"/>
      <c r="U623" s="271"/>
      <c r="V623" s="271"/>
      <c r="W623" s="271"/>
      <c r="X623" s="271"/>
      <c r="Y623" s="271"/>
      <c r="Z623" s="271"/>
    </row>
    <row r="624">
      <c r="A624" s="271"/>
      <c r="B624" s="271"/>
      <c r="C624" s="271"/>
      <c r="D624" s="271"/>
      <c r="E624" s="271"/>
      <c r="F624" s="271"/>
      <c r="G624" s="271"/>
      <c r="H624" s="271"/>
      <c r="I624" s="271"/>
      <c r="J624" s="271"/>
      <c r="K624" s="271"/>
      <c r="L624" s="271"/>
      <c r="M624" s="271"/>
      <c r="N624" s="271"/>
      <c r="O624" s="271"/>
      <c r="P624" s="271"/>
      <c r="Q624" s="271"/>
      <c r="R624" s="271"/>
      <c r="S624" s="271"/>
      <c r="T624" s="271"/>
      <c r="U624" s="271"/>
      <c r="V624" s="271"/>
      <c r="W624" s="271"/>
      <c r="X624" s="271"/>
      <c r="Y624" s="271"/>
      <c r="Z624" s="271"/>
    </row>
    <row r="625">
      <c r="A625" s="271"/>
      <c r="B625" s="271"/>
      <c r="C625" s="271"/>
      <c r="D625" s="271"/>
      <c r="E625" s="271"/>
      <c r="F625" s="271"/>
      <c r="G625" s="271"/>
      <c r="H625" s="271"/>
      <c r="I625" s="271"/>
      <c r="J625" s="271"/>
      <c r="K625" s="271"/>
      <c r="L625" s="271"/>
      <c r="M625" s="271"/>
      <c r="N625" s="271"/>
      <c r="O625" s="271"/>
      <c r="P625" s="271"/>
      <c r="Q625" s="271"/>
      <c r="R625" s="271"/>
      <c r="S625" s="271"/>
      <c r="T625" s="271"/>
      <c r="U625" s="271"/>
      <c r="V625" s="271"/>
      <c r="W625" s="271"/>
      <c r="X625" s="271"/>
      <c r="Y625" s="271"/>
      <c r="Z625" s="271"/>
    </row>
    <row r="626">
      <c r="A626" s="271"/>
      <c r="B626" s="271"/>
      <c r="C626" s="271"/>
      <c r="D626" s="271"/>
      <c r="E626" s="271"/>
      <c r="F626" s="271"/>
      <c r="G626" s="271"/>
      <c r="H626" s="271"/>
      <c r="I626" s="271"/>
      <c r="J626" s="271"/>
      <c r="K626" s="271"/>
      <c r="L626" s="271"/>
      <c r="M626" s="271"/>
      <c r="N626" s="271"/>
      <c r="O626" s="271"/>
      <c r="P626" s="271"/>
      <c r="Q626" s="271"/>
      <c r="R626" s="271"/>
      <c r="S626" s="271"/>
      <c r="T626" s="271"/>
      <c r="U626" s="271"/>
      <c r="V626" s="271"/>
      <c r="W626" s="271"/>
      <c r="X626" s="271"/>
      <c r="Y626" s="271"/>
      <c r="Z626" s="271"/>
    </row>
    <row r="627">
      <c r="A627" s="271"/>
      <c r="B627" s="271"/>
      <c r="C627" s="271"/>
      <c r="D627" s="271"/>
      <c r="E627" s="271"/>
      <c r="F627" s="271"/>
      <c r="G627" s="271"/>
      <c r="H627" s="271"/>
      <c r="I627" s="271"/>
      <c r="J627" s="271"/>
      <c r="K627" s="271"/>
      <c r="L627" s="271"/>
      <c r="M627" s="271"/>
      <c r="N627" s="271"/>
      <c r="O627" s="271"/>
      <c r="P627" s="271"/>
      <c r="Q627" s="271"/>
      <c r="R627" s="271"/>
      <c r="S627" s="271"/>
      <c r="T627" s="271"/>
      <c r="U627" s="271"/>
      <c r="V627" s="271"/>
      <c r="W627" s="271"/>
      <c r="X627" s="271"/>
      <c r="Y627" s="271"/>
      <c r="Z627" s="271"/>
    </row>
    <row r="628">
      <c r="A628" s="271"/>
      <c r="B628" s="271"/>
      <c r="C628" s="271"/>
      <c r="D628" s="271"/>
      <c r="E628" s="271"/>
      <c r="F628" s="271"/>
      <c r="G628" s="271"/>
      <c r="H628" s="271"/>
      <c r="I628" s="271"/>
      <c r="J628" s="271"/>
      <c r="K628" s="271"/>
      <c r="L628" s="271"/>
      <c r="M628" s="271"/>
      <c r="N628" s="271"/>
      <c r="O628" s="271"/>
      <c r="P628" s="271"/>
      <c r="Q628" s="271"/>
      <c r="R628" s="271"/>
      <c r="S628" s="271"/>
      <c r="T628" s="271"/>
      <c r="U628" s="271"/>
      <c r="V628" s="271"/>
      <c r="W628" s="271"/>
      <c r="X628" s="271"/>
      <c r="Y628" s="271"/>
      <c r="Z628" s="271"/>
    </row>
    <row r="629">
      <c r="A629" s="271"/>
      <c r="B629" s="271"/>
      <c r="C629" s="271"/>
      <c r="D629" s="271"/>
      <c r="E629" s="271"/>
      <c r="F629" s="271"/>
      <c r="G629" s="271"/>
      <c r="H629" s="271"/>
      <c r="I629" s="271"/>
      <c r="J629" s="271"/>
      <c r="K629" s="271"/>
      <c r="L629" s="271"/>
      <c r="M629" s="271"/>
      <c r="N629" s="271"/>
      <c r="O629" s="271"/>
      <c r="P629" s="271"/>
      <c r="Q629" s="271"/>
      <c r="R629" s="271"/>
      <c r="S629" s="271"/>
      <c r="T629" s="271"/>
      <c r="U629" s="271"/>
      <c r="V629" s="271"/>
      <c r="W629" s="271"/>
      <c r="X629" s="271"/>
      <c r="Y629" s="271"/>
      <c r="Z629" s="271"/>
    </row>
    <row r="630">
      <c r="A630" s="271"/>
      <c r="B630" s="271"/>
      <c r="C630" s="271"/>
      <c r="D630" s="271"/>
      <c r="E630" s="271"/>
      <c r="F630" s="271"/>
      <c r="G630" s="271"/>
      <c r="H630" s="271"/>
      <c r="I630" s="271"/>
      <c r="J630" s="271"/>
      <c r="K630" s="271"/>
      <c r="L630" s="271"/>
      <c r="M630" s="271"/>
      <c r="N630" s="271"/>
      <c r="O630" s="271"/>
      <c r="P630" s="271"/>
      <c r="Q630" s="271"/>
      <c r="R630" s="271"/>
      <c r="S630" s="271"/>
      <c r="T630" s="271"/>
      <c r="U630" s="271"/>
      <c r="V630" s="271"/>
      <c r="W630" s="271"/>
      <c r="X630" s="271"/>
      <c r="Y630" s="271"/>
      <c r="Z630" s="271"/>
    </row>
    <row r="631">
      <c r="A631" s="271"/>
      <c r="B631" s="271"/>
      <c r="C631" s="271"/>
      <c r="D631" s="271"/>
      <c r="E631" s="271"/>
      <c r="F631" s="271"/>
      <c r="G631" s="271"/>
      <c r="H631" s="271"/>
      <c r="I631" s="271"/>
      <c r="J631" s="271"/>
      <c r="K631" s="271"/>
      <c r="L631" s="271"/>
      <c r="M631" s="271"/>
      <c r="N631" s="271"/>
      <c r="O631" s="271"/>
      <c r="P631" s="271"/>
      <c r="Q631" s="271"/>
      <c r="R631" s="271"/>
      <c r="S631" s="271"/>
      <c r="T631" s="271"/>
      <c r="U631" s="271"/>
      <c r="V631" s="271"/>
      <c r="W631" s="271"/>
      <c r="X631" s="271"/>
      <c r="Y631" s="271"/>
      <c r="Z631" s="271"/>
    </row>
    <row r="632">
      <c r="A632" s="271"/>
      <c r="B632" s="271"/>
      <c r="C632" s="271"/>
      <c r="D632" s="271"/>
      <c r="E632" s="271"/>
      <c r="F632" s="271"/>
      <c r="G632" s="271"/>
      <c r="H632" s="271"/>
      <c r="I632" s="271"/>
      <c r="J632" s="271"/>
      <c r="K632" s="271"/>
      <c r="L632" s="271"/>
      <c r="M632" s="271"/>
      <c r="N632" s="271"/>
      <c r="O632" s="271"/>
      <c r="P632" s="271"/>
      <c r="Q632" s="271"/>
      <c r="R632" s="271"/>
      <c r="S632" s="271"/>
      <c r="T632" s="271"/>
      <c r="U632" s="271"/>
      <c r="V632" s="271"/>
      <c r="W632" s="271"/>
      <c r="X632" s="271"/>
      <c r="Y632" s="271"/>
      <c r="Z632" s="271"/>
    </row>
    <row r="633">
      <c r="A633" s="271"/>
      <c r="B633" s="271"/>
      <c r="C633" s="271"/>
      <c r="D633" s="271"/>
      <c r="E633" s="271"/>
      <c r="F633" s="271"/>
      <c r="G633" s="271"/>
      <c r="H633" s="271"/>
      <c r="I633" s="271"/>
      <c r="J633" s="271"/>
      <c r="K633" s="271"/>
      <c r="L633" s="271"/>
      <c r="M633" s="271"/>
      <c r="N633" s="271"/>
      <c r="O633" s="271"/>
      <c r="P633" s="271"/>
      <c r="Q633" s="271"/>
      <c r="R633" s="271"/>
      <c r="S633" s="271"/>
      <c r="T633" s="271"/>
      <c r="U633" s="271"/>
      <c r="V633" s="271"/>
      <c r="W633" s="271"/>
      <c r="X633" s="271"/>
      <c r="Y633" s="271"/>
      <c r="Z633" s="271"/>
    </row>
    <row r="634">
      <c r="A634" s="271"/>
      <c r="B634" s="271"/>
      <c r="C634" s="271"/>
      <c r="D634" s="271"/>
      <c r="E634" s="271"/>
      <c r="F634" s="271"/>
      <c r="G634" s="271"/>
      <c r="H634" s="271"/>
      <c r="I634" s="271"/>
      <c r="J634" s="271"/>
      <c r="K634" s="271"/>
      <c r="L634" s="271"/>
      <c r="M634" s="271"/>
      <c r="N634" s="271"/>
      <c r="O634" s="271"/>
      <c r="P634" s="271"/>
      <c r="Q634" s="271"/>
      <c r="R634" s="271"/>
      <c r="S634" s="271"/>
      <c r="T634" s="271"/>
      <c r="U634" s="271"/>
      <c r="V634" s="271"/>
      <c r="W634" s="271"/>
      <c r="X634" s="271"/>
      <c r="Y634" s="271"/>
      <c r="Z634" s="271"/>
    </row>
    <row r="635">
      <c r="A635" s="271"/>
      <c r="B635" s="271"/>
      <c r="C635" s="271"/>
      <c r="D635" s="271"/>
      <c r="E635" s="271"/>
      <c r="F635" s="271"/>
      <c r="G635" s="271"/>
      <c r="H635" s="271"/>
      <c r="I635" s="271"/>
      <c r="J635" s="271"/>
      <c r="K635" s="271"/>
      <c r="L635" s="271"/>
      <c r="M635" s="271"/>
      <c r="N635" s="271"/>
      <c r="O635" s="271"/>
      <c r="P635" s="271"/>
      <c r="Q635" s="271"/>
      <c r="R635" s="271"/>
      <c r="S635" s="271"/>
      <c r="T635" s="271"/>
      <c r="U635" s="271"/>
      <c r="V635" s="271"/>
      <c r="W635" s="271"/>
      <c r="X635" s="271"/>
      <c r="Y635" s="271"/>
      <c r="Z635" s="271"/>
    </row>
    <row r="636">
      <c r="A636" s="271"/>
      <c r="B636" s="271"/>
      <c r="C636" s="271"/>
      <c r="D636" s="271"/>
      <c r="E636" s="271"/>
      <c r="F636" s="271"/>
      <c r="G636" s="271"/>
      <c r="H636" s="271"/>
      <c r="I636" s="271"/>
      <c r="J636" s="271"/>
      <c r="K636" s="271"/>
      <c r="L636" s="271"/>
      <c r="M636" s="271"/>
      <c r="N636" s="271"/>
      <c r="O636" s="271"/>
      <c r="P636" s="271"/>
      <c r="Q636" s="271"/>
      <c r="R636" s="271"/>
      <c r="S636" s="271"/>
      <c r="T636" s="271"/>
      <c r="U636" s="271"/>
      <c r="V636" s="271"/>
      <c r="W636" s="271"/>
      <c r="X636" s="271"/>
      <c r="Y636" s="271"/>
      <c r="Z636" s="271"/>
    </row>
    <row r="637">
      <c r="A637" s="271"/>
      <c r="B637" s="271"/>
      <c r="C637" s="271"/>
      <c r="D637" s="271"/>
      <c r="E637" s="271"/>
      <c r="F637" s="271"/>
      <c r="G637" s="271"/>
      <c r="H637" s="271"/>
      <c r="I637" s="271"/>
      <c r="J637" s="271"/>
      <c r="K637" s="271"/>
      <c r="L637" s="271"/>
      <c r="M637" s="271"/>
      <c r="N637" s="271"/>
      <c r="O637" s="271"/>
      <c r="P637" s="271"/>
      <c r="Q637" s="271"/>
      <c r="R637" s="271"/>
      <c r="S637" s="271"/>
      <c r="T637" s="271"/>
      <c r="U637" s="271"/>
      <c r="V637" s="271"/>
      <c r="W637" s="271"/>
      <c r="X637" s="271"/>
      <c r="Y637" s="271"/>
      <c r="Z637" s="271"/>
    </row>
    <row r="638">
      <c r="A638" s="271"/>
      <c r="B638" s="271"/>
      <c r="C638" s="271"/>
      <c r="D638" s="271"/>
      <c r="E638" s="271"/>
      <c r="F638" s="271"/>
      <c r="G638" s="271"/>
      <c r="H638" s="271"/>
      <c r="I638" s="271"/>
      <c r="J638" s="271"/>
      <c r="K638" s="271"/>
      <c r="L638" s="271"/>
      <c r="M638" s="271"/>
      <c r="N638" s="271"/>
      <c r="O638" s="271"/>
      <c r="P638" s="271"/>
      <c r="Q638" s="271"/>
      <c r="R638" s="271"/>
      <c r="S638" s="271"/>
      <c r="T638" s="271"/>
      <c r="U638" s="271"/>
      <c r="V638" s="271"/>
      <c r="W638" s="271"/>
      <c r="X638" s="271"/>
      <c r="Y638" s="271"/>
      <c r="Z638" s="271"/>
    </row>
    <row r="639">
      <c r="A639" s="271"/>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row>
    <row r="640">
      <c r="A640" s="271"/>
      <c r="B640" s="271"/>
      <c r="C640" s="271"/>
      <c r="D640" s="271"/>
      <c r="E640" s="271"/>
      <c r="F640" s="271"/>
      <c r="G640" s="271"/>
      <c r="H640" s="271"/>
      <c r="I640" s="271"/>
      <c r="J640" s="271"/>
      <c r="K640" s="271"/>
      <c r="L640" s="271"/>
      <c r="M640" s="271"/>
      <c r="N640" s="271"/>
      <c r="O640" s="271"/>
      <c r="P640" s="271"/>
      <c r="Q640" s="271"/>
      <c r="R640" s="271"/>
      <c r="S640" s="271"/>
      <c r="T640" s="271"/>
      <c r="U640" s="271"/>
      <c r="V640" s="271"/>
      <c r="W640" s="271"/>
      <c r="X640" s="271"/>
      <c r="Y640" s="271"/>
      <c r="Z640" s="271"/>
    </row>
    <row r="641">
      <c r="A641" s="271"/>
      <c r="B641" s="271"/>
      <c r="C641" s="271"/>
      <c r="D641" s="271"/>
      <c r="E641" s="271"/>
      <c r="F641" s="271"/>
      <c r="G641" s="271"/>
      <c r="H641" s="271"/>
      <c r="I641" s="271"/>
      <c r="J641" s="271"/>
      <c r="K641" s="271"/>
      <c r="L641" s="271"/>
      <c r="M641" s="271"/>
      <c r="N641" s="271"/>
      <c r="O641" s="271"/>
      <c r="P641" s="271"/>
      <c r="Q641" s="271"/>
      <c r="R641" s="271"/>
      <c r="S641" s="271"/>
      <c r="T641" s="271"/>
      <c r="U641" s="271"/>
      <c r="V641" s="271"/>
      <c r="W641" s="271"/>
      <c r="X641" s="271"/>
      <c r="Y641" s="271"/>
      <c r="Z641" s="271"/>
    </row>
    <row r="642">
      <c r="A642" s="271"/>
      <c r="B642" s="271"/>
      <c r="C642" s="271"/>
      <c r="D642" s="271"/>
      <c r="E642" s="271"/>
      <c r="F642" s="271"/>
      <c r="G642" s="271"/>
      <c r="H642" s="271"/>
      <c r="I642" s="271"/>
      <c r="J642" s="271"/>
      <c r="K642" s="271"/>
      <c r="L642" s="271"/>
      <c r="M642" s="271"/>
      <c r="N642" s="271"/>
      <c r="O642" s="271"/>
      <c r="P642" s="271"/>
      <c r="Q642" s="271"/>
      <c r="R642" s="271"/>
      <c r="S642" s="271"/>
      <c r="T642" s="271"/>
      <c r="U642" s="271"/>
      <c r="V642" s="271"/>
      <c r="W642" s="271"/>
      <c r="X642" s="271"/>
      <c r="Y642" s="271"/>
      <c r="Z642" s="271"/>
    </row>
    <row r="643">
      <c r="A643" s="271"/>
      <c r="B643" s="271"/>
      <c r="C643" s="271"/>
      <c r="D643" s="271"/>
      <c r="E643" s="271"/>
      <c r="F643" s="271"/>
      <c r="G643" s="271"/>
      <c r="H643" s="271"/>
      <c r="I643" s="271"/>
      <c r="J643" s="271"/>
      <c r="K643" s="271"/>
      <c r="L643" s="271"/>
      <c r="M643" s="271"/>
      <c r="N643" s="271"/>
      <c r="O643" s="271"/>
      <c r="P643" s="271"/>
      <c r="Q643" s="271"/>
      <c r="R643" s="271"/>
      <c r="S643" s="271"/>
      <c r="T643" s="271"/>
      <c r="U643" s="271"/>
      <c r="V643" s="271"/>
      <c r="W643" s="271"/>
      <c r="X643" s="271"/>
      <c r="Y643" s="271"/>
      <c r="Z643" s="271"/>
    </row>
    <row r="644">
      <c r="A644" s="271"/>
      <c r="B644" s="271"/>
      <c r="C644" s="271"/>
      <c r="D644" s="271"/>
      <c r="E644" s="271"/>
      <c r="F644" s="271"/>
      <c r="G644" s="271"/>
      <c r="H644" s="271"/>
      <c r="I644" s="271"/>
      <c r="J644" s="271"/>
      <c r="K644" s="271"/>
      <c r="L644" s="271"/>
      <c r="M644" s="271"/>
      <c r="N644" s="271"/>
      <c r="O644" s="271"/>
      <c r="P644" s="271"/>
      <c r="Q644" s="271"/>
      <c r="R644" s="271"/>
      <c r="S644" s="271"/>
      <c r="T644" s="271"/>
      <c r="U644" s="271"/>
      <c r="V644" s="271"/>
      <c r="W644" s="271"/>
      <c r="X644" s="271"/>
      <c r="Y644" s="271"/>
      <c r="Z644" s="271"/>
    </row>
    <row r="645">
      <c r="A645" s="271"/>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row>
    <row r="646">
      <c r="A646" s="271"/>
      <c r="B646" s="271"/>
      <c r="C646" s="271"/>
      <c r="D646" s="271"/>
      <c r="E646" s="271"/>
      <c r="F646" s="271"/>
      <c r="G646" s="271"/>
      <c r="H646" s="271"/>
      <c r="I646" s="271"/>
      <c r="J646" s="271"/>
      <c r="K646" s="271"/>
      <c r="L646" s="271"/>
      <c r="M646" s="271"/>
      <c r="N646" s="271"/>
      <c r="O646" s="271"/>
      <c r="P646" s="271"/>
      <c r="Q646" s="271"/>
      <c r="R646" s="271"/>
      <c r="S646" s="271"/>
      <c r="T646" s="271"/>
      <c r="U646" s="271"/>
      <c r="V646" s="271"/>
      <c r="W646" s="271"/>
      <c r="X646" s="271"/>
      <c r="Y646" s="271"/>
      <c r="Z646" s="271"/>
    </row>
    <row r="647">
      <c r="A647" s="271"/>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row>
    <row r="648">
      <c r="A648" s="271"/>
      <c r="B648" s="271"/>
      <c r="C648" s="271"/>
      <c r="D648" s="271"/>
      <c r="E648" s="271"/>
      <c r="F648" s="271"/>
      <c r="G648" s="271"/>
      <c r="H648" s="271"/>
      <c r="I648" s="271"/>
      <c r="J648" s="271"/>
      <c r="K648" s="271"/>
      <c r="L648" s="271"/>
      <c r="M648" s="271"/>
      <c r="N648" s="271"/>
      <c r="O648" s="271"/>
      <c r="P648" s="271"/>
      <c r="Q648" s="271"/>
      <c r="R648" s="271"/>
      <c r="S648" s="271"/>
      <c r="T648" s="271"/>
      <c r="U648" s="271"/>
      <c r="V648" s="271"/>
      <c r="W648" s="271"/>
      <c r="X648" s="271"/>
      <c r="Y648" s="271"/>
      <c r="Z648" s="271"/>
    </row>
    <row r="649">
      <c r="A649" s="271"/>
      <c r="B649" s="271"/>
      <c r="C649" s="271"/>
      <c r="D649" s="271"/>
      <c r="E649" s="271"/>
      <c r="F649" s="271"/>
      <c r="G649" s="271"/>
      <c r="H649" s="271"/>
      <c r="I649" s="271"/>
      <c r="J649" s="271"/>
      <c r="K649" s="271"/>
      <c r="L649" s="271"/>
      <c r="M649" s="271"/>
      <c r="N649" s="271"/>
      <c r="O649" s="271"/>
      <c r="P649" s="271"/>
      <c r="Q649" s="271"/>
      <c r="R649" s="271"/>
      <c r="S649" s="271"/>
      <c r="T649" s="271"/>
      <c r="U649" s="271"/>
      <c r="V649" s="271"/>
      <c r="W649" s="271"/>
      <c r="X649" s="271"/>
      <c r="Y649" s="271"/>
      <c r="Z649" s="271"/>
    </row>
    <row r="650">
      <c r="A650" s="271"/>
      <c r="B650" s="271"/>
      <c r="C650" s="271"/>
      <c r="D650" s="271"/>
      <c r="E650" s="271"/>
      <c r="F650" s="271"/>
      <c r="G650" s="271"/>
      <c r="H650" s="271"/>
      <c r="I650" s="271"/>
      <c r="J650" s="271"/>
      <c r="K650" s="271"/>
      <c r="L650" s="271"/>
      <c r="M650" s="271"/>
      <c r="N650" s="271"/>
      <c r="O650" s="271"/>
      <c r="P650" s="271"/>
      <c r="Q650" s="271"/>
      <c r="R650" s="271"/>
      <c r="S650" s="271"/>
      <c r="T650" s="271"/>
      <c r="U650" s="271"/>
      <c r="V650" s="271"/>
      <c r="W650" s="271"/>
      <c r="X650" s="271"/>
      <c r="Y650" s="271"/>
      <c r="Z650" s="271"/>
    </row>
    <row r="651">
      <c r="A651" s="271"/>
      <c r="B651" s="271"/>
      <c r="C651" s="271"/>
      <c r="D651" s="271"/>
      <c r="E651" s="271"/>
      <c r="F651" s="271"/>
      <c r="G651" s="271"/>
      <c r="H651" s="271"/>
      <c r="I651" s="271"/>
      <c r="J651" s="271"/>
      <c r="K651" s="271"/>
      <c r="L651" s="271"/>
      <c r="M651" s="271"/>
      <c r="N651" s="271"/>
      <c r="O651" s="271"/>
      <c r="P651" s="271"/>
      <c r="Q651" s="271"/>
      <c r="R651" s="271"/>
      <c r="S651" s="271"/>
      <c r="T651" s="271"/>
      <c r="U651" s="271"/>
      <c r="V651" s="271"/>
      <c r="W651" s="271"/>
      <c r="X651" s="271"/>
      <c r="Y651" s="271"/>
      <c r="Z651" s="271"/>
    </row>
    <row r="652">
      <c r="A652" s="271"/>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row>
    <row r="653">
      <c r="A653" s="271"/>
      <c r="B653" s="271"/>
      <c r="C653" s="271"/>
      <c r="D653" s="271"/>
      <c r="E653" s="271"/>
      <c r="F653" s="271"/>
      <c r="G653" s="271"/>
      <c r="H653" s="271"/>
      <c r="I653" s="271"/>
      <c r="J653" s="271"/>
      <c r="K653" s="271"/>
      <c r="L653" s="271"/>
      <c r="M653" s="271"/>
      <c r="N653" s="271"/>
      <c r="O653" s="271"/>
      <c r="P653" s="271"/>
      <c r="Q653" s="271"/>
      <c r="R653" s="271"/>
      <c r="S653" s="271"/>
      <c r="T653" s="271"/>
      <c r="U653" s="271"/>
      <c r="V653" s="271"/>
      <c r="W653" s="271"/>
      <c r="X653" s="271"/>
      <c r="Y653" s="271"/>
      <c r="Z653" s="271"/>
    </row>
    <row r="654">
      <c r="A654" s="271"/>
      <c r="B654" s="271"/>
      <c r="C654" s="271"/>
      <c r="D654" s="271"/>
      <c r="E654" s="271"/>
      <c r="F654" s="271"/>
      <c r="G654" s="271"/>
      <c r="H654" s="271"/>
      <c r="I654" s="271"/>
      <c r="J654" s="271"/>
      <c r="K654" s="271"/>
      <c r="L654" s="271"/>
      <c r="M654" s="271"/>
      <c r="N654" s="271"/>
      <c r="O654" s="271"/>
      <c r="P654" s="271"/>
      <c r="Q654" s="271"/>
      <c r="R654" s="271"/>
      <c r="S654" s="271"/>
      <c r="T654" s="271"/>
      <c r="U654" s="271"/>
      <c r="V654" s="271"/>
      <c r="W654" s="271"/>
      <c r="X654" s="271"/>
      <c r="Y654" s="271"/>
      <c r="Z654" s="271"/>
    </row>
    <row r="655">
      <c r="A655" s="271"/>
      <c r="B655" s="271"/>
      <c r="C655" s="271"/>
      <c r="D655" s="271"/>
      <c r="E655" s="271"/>
      <c r="F655" s="271"/>
      <c r="G655" s="271"/>
      <c r="H655" s="271"/>
      <c r="I655" s="271"/>
      <c r="J655" s="271"/>
      <c r="K655" s="271"/>
      <c r="L655" s="271"/>
      <c r="M655" s="271"/>
      <c r="N655" s="271"/>
      <c r="O655" s="271"/>
      <c r="P655" s="271"/>
      <c r="Q655" s="271"/>
      <c r="R655" s="271"/>
      <c r="S655" s="271"/>
      <c r="T655" s="271"/>
      <c r="U655" s="271"/>
      <c r="V655" s="271"/>
      <c r="W655" s="271"/>
      <c r="X655" s="271"/>
      <c r="Y655" s="271"/>
      <c r="Z655" s="271"/>
    </row>
    <row r="656">
      <c r="A656" s="271"/>
      <c r="B656" s="271"/>
      <c r="C656" s="271"/>
      <c r="D656" s="271"/>
      <c r="E656" s="271"/>
      <c r="F656" s="271"/>
      <c r="G656" s="271"/>
      <c r="H656" s="271"/>
      <c r="I656" s="271"/>
      <c r="J656" s="271"/>
      <c r="K656" s="271"/>
      <c r="L656" s="271"/>
      <c r="M656" s="271"/>
      <c r="N656" s="271"/>
      <c r="O656" s="271"/>
      <c r="P656" s="271"/>
      <c r="Q656" s="271"/>
      <c r="R656" s="271"/>
      <c r="S656" s="271"/>
      <c r="T656" s="271"/>
      <c r="U656" s="271"/>
      <c r="V656" s="271"/>
      <c r="W656" s="271"/>
      <c r="X656" s="271"/>
      <c r="Y656" s="271"/>
      <c r="Z656" s="271"/>
    </row>
    <row r="657">
      <c r="A657" s="271"/>
      <c r="B657" s="271"/>
      <c r="C657" s="271"/>
      <c r="D657" s="271"/>
      <c r="E657" s="271"/>
      <c r="F657" s="271"/>
      <c r="G657" s="271"/>
      <c r="H657" s="271"/>
      <c r="I657" s="271"/>
      <c r="J657" s="271"/>
      <c r="K657" s="271"/>
      <c r="L657" s="271"/>
      <c r="M657" s="271"/>
      <c r="N657" s="271"/>
      <c r="O657" s="271"/>
      <c r="P657" s="271"/>
      <c r="Q657" s="271"/>
      <c r="R657" s="271"/>
      <c r="S657" s="271"/>
      <c r="T657" s="271"/>
      <c r="U657" s="271"/>
      <c r="V657" s="271"/>
      <c r="W657" s="271"/>
      <c r="X657" s="271"/>
      <c r="Y657" s="271"/>
      <c r="Z657" s="271"/>
    </row>
    <row r="658">
      <c r="A658" s="271"/>
      <c r="B658" s="271"/>
      <c r="C658" s="271"/>
      <c r="D658" s="271"/>
      <c r="E658" s="271"/>
      <c r="F658" s="271"/>
      <c r="G658" s="271"/>
      <c r="H658" s="271"/>
      <c r="I658" s="271"/>
      <c r="J658" s="271"/>
      <c r="K658" s="271"/>
      <c r="L658" s="271"/>
      <c r="M658" s="271"/>
      <c r="N658" s="271"/>
      <c r="O658" s="271"/>
      <c r="P658" s="271"/>
      <c r="Q658" s="271"/>
      <c r="R658" s="271"/>
      <c r="S658" s="271"/>
      <c r="T658" s="271"/>
      <c r="U658" s="271"/>
      <c r="V658" s="271"/>
      <c r="W658" s="271"/>
      <c r="X658" s="271"/>
      <c r="Y658" s="271"/>
      <c r="Z658" s="271"/>
    </row>
    <row r="659">
      <c r="A659" s="271"/>
      <c r="B659" s="271"/>
      <c r="C659" s="271"/>
      <c r="D659" s="271"/>
      <c r="E659" s="271"/>
      <c r="F659" s="271"/>
      <c r="G659" s="271"/>
      <c r="H659" s="271"/>
      <c r="I659" s="271"/>
      <c r="J659" s="271"/>
      <c r="K659" s="271"/>
      <c r="L659" s="271"/>
      <c r="M659" s="271"/>
      <c r="N659" s="271"/>
      <c r="O659" s="271"/>
      <c r="P659" s="271"/>
      <c r="Q659" s="271"/>
      <c r="R659" s="271"/>
      <c r="S659" s="271"/>
      <c r="T659" s="271"/>
      <c r="U659" s="271"/>
      <c r="V659" s="271"/>
      <c r="W659" s="271"/>
      <c r="X659" s="271"/>
      <c r="Y659" s="271"/>
      <c r="Z659" s="271"/>
    </row>
    <row r="660">
      <c r="A660" s="271"/>
      <c r="B660" s="271"/>
      <c r="C660" s="271"/>
      <c r="D660" s="271"/>
      <c r="E660" s="271"/>
      <c r="F660" s="271"/>
      <c r="G660" s="271"/>
      <c r="H660" s="271"/>
      <c r="I660" s="271"/>
      <c r="J660" s="271"/>
      <c r="K660" s="271"/>
      <c r="L660" s="271"/>
      <c r="M660" s="271"/>
      <c r="N660" s="271"/>
      <c r="O660" s="271"/>
      <c r="P660" s="271"/>
      <c r="Q660" s="271"/>
      <c r="R660" s="271"/>
      <c r="S660" s="271"/>
      <c r="T660" s="271"/>
      <c r="U660" s="271"/>
      <c r="V660" s="271"/>
      <c r="W660" s="271"/>
      <c r="X660" s="271"/>
      <c r="Y660" s="271"/>
      <c r="Z660" s="271"/>
    </row>
    <row r="661">
      <c r="A661" s="271"/>
      <c r="B661" s="271"/>
      <c r="C661" s="271"/>
      <c r="D661" s="271"/>
      <c r="E661" s="271"/>
      <c r="F661" s="271"/>
      <c r="G661" s="271"/>
      <c r="H661" s="271"/>
      <c r="I661" s="271"/>
      <c r="J661" s="271"/>
      <c r="K661" s="271"/>
      <c r="L661" s="271"/>
      <c r="M661" s="271"/>
      <c r="N661" s="271"/>
      <c r="O661" s="271"/>
      <c r="P661" s="271"/>
      <c r="Q661" s="271"/>
      <c r="R661" s="271"/>
      <c r="S661" s="271"/>
      <c r="T661" s="271"/>
      <c r="U661" s="271"/>
      <c r="V661" s="271"/>
      <c r="W661" s="271"/>
      <c r="X661" s="271"/>
      <c r="Y661" s="271"/>
      <c r="Z661" s="271"/>
    </row>
    <row r="662">
      <c r="A662" s="271"/>
      <c r="B662" s="271"/>
      <c r="C662" s="271"/>
      <c r="D662" s="271"/>
      <c r="E662" s="271"/>
      <c r="F662" s="271"/>
      <c r="G662" s="271"/>
      <c r="H662" s="271"/>
      <c r="I662" s="271"/>
      <c r="J662" s="271"/>
      <c r="K662" s="271"/>
      <c r="L662" s="271"/>
      <c r="M662" s="271"/>
      <c r="N662" s="271"/>
      <c r="O662" s="271"/>
      <c r="P662" s="271"/>
      <c r="Q662" s="271"/>
      <c r="R662" s="271"/>
      <c r="S662" s="271"/>
      <c r="T662" s="271"/>
      <c r="U662" s="271"/>
      <c r="V662" s="271"/>
      <c r="W662" s="271"/>
      <c r="X662" s="271"/>
      <c r="Y662" s="271"/>
      <c r="Z662" s="271"/>
    </row>
    <row r="663">
      <c r="A663" s="271"/>
      <c r="B663" s="271"/>
      <c r="C663" s="271"/>
      <c r="D663" s="271"/>
      <c r="E663" s="271"/>
      <c r="F663" s="271"/>
      <c r="G663" s="271"/>
      <c r="H663" s="271"/>
      <c r="I663" s="271"/>
      <c r="J663" s="271"/>
      <c r="K663" s="271"/>
      <c r="L663" s="271"/>
      <c r="M663" s="271"/>
      <c r="N663" s="271"/>
      <c r="O663" s="271"/>
      <c r="P663" s="271"/>
      <c r="Q663" s="271"/>
      <c r="R663" s="271"/>
      <c r="S663" s="271"/>
      <c r="T663" s="271"/>
      <c r="U663" s="271"/>
      <c r="V663" s="271"/>
      <c r="W663" s="271"/>
      <c r="X663" s="271"/>
      <c r="Y663" s="271"/>
      <c r="Z663" s="271"/>
    </row>
    <row r="664">
      <c r="A664" s="271"/>
      <c r="B664" s="271"/>
      <c r="C664" s="271"/>
      <c r="D664" s="271"/>
      <c r="E664" s="271"/>
      <c r="F664" s="271"/>
      <c r="G664" s="271"/>
      <c r="H664" s="271"/>
      <c r="I664" s="271"/>
      <c r="J664" s="271"/>
      <c r="K664" s="271"/>
      <c r="L664" s="271"/>
      <c r="M664" s="271"/>
      <c r="N664" s="271"/>
      <c r="O664" s="271"/>
      <c r="P664" s="271"/>
      <c r="Q664" s="271"/>
      <c r="R664" s="271"/>
      <c r="S664" s="271"/>
      <c r="T664" s="271"/>
      <c r="U664" s="271"/>
      <c r="V664" s="271"/>
      <c r="W664" s="271"/>
      <c r="X664" s="271"/>
      <c r="Y664" s="271"/>
      <c r="Z664" s="271"/>
    </row>
    <row r="665">
      <c r="A665" s="271"/>
      <c r="B665" s="271"/>
      <c r="C665" s="271"/>
      <c r="D665" s="271"/>
      <c r="E665" s="271"/>
      <c r="F665" s="271"/>
      <c r="G665" s="271"/>
      <c r="H665" s="271"/>
      <c r="I665" s="271"/>
      <c r="J665" s="271"/>
      <c r="K665" s="271"/>
      <c r="L665" s="271"/>
      <c r="M665" s="271"/>
      <c r="N665" s="271"/>
      <c r="O665" s="271"/>
      <c r="P665" s="271"/>
      <c r="Q665" s="271"/>
      <c r="R665" s="271"/>
      <c r="S665" s="271"/>
      <c r="T665" s="271"/>
      <c r="U665" s="271"/>
      <c r="V665" s="271"/>
      <c r="W665" s="271"/>
      <c r="X665" s="271"/>
      <c r="Y665" s="271"/>
      <c r="Z665" s="271"/>
    </row>
    <row r="666">
      <c r="A666" s="271"/>
      <c r="B666" s="271"/>
      <c r="C666" s="271"/>
      <c r="D666" s="271"/>
      <c r="E666" s="271"/>
      <c r="F666" s="271"/>
      <c r="G666" s="271"/>
      <c r="H666" s="271"/>
      <c r="I666" s="271"/>
      <c r="J666" s="271"/>
      <c r="K666" s="271"/>
      <c r="L666" s="271"/>
      <c r="M666" s="271"/>
      <c r="N666" s="271"/>
      <c r="O666" s="271"/>
      <c r="P666" s="271"/>
      <c r="Q666" s="271"/>
      <c r="R666" s="271"/>
      <c r="S666" s="271"/>
      <c r="T666" s="271"/>
      <c r="U666" s="271"/>
      <c r="V666" s="271"/>
      <c r="W666" s="271"/>
      <c r="X666" s="271"/>
      <c r="Y666" s="271"/>
      <c r="Z666" s="271"/>
    </row>
    <row r="667">
      <c r="A667" s="271"/>
      <c r="B667" s="271"/>
      <c r="C667" s="271"/>
      <c r="D667" s="271"/>
      <c r="E667" s="271"/>
      <c r="F667" s="271"/>
      <c r="G667" s="271"/>
      <c r="H667" s="271"/>
      <c r="I667" s="271"/>
      <c r="J667" s="271"/>
      <c r="K667" s="271"/>
      <c r="L667" s="271"/>
      <c r="M667" s="271"/>
      <c r="N667" s="271"/>
      <c r="O667" s="271"/>
      <c r="P667" s="271"/>
      <c r="Q667" s="271"/>
      <c r="R667" s="271"/>
      <c r="S667" s="271"/>
      <c r="T667" s="271"/>
      <c r="U667" s="271"/>
      <c r="V667" s="271"/>
      <c r="W667" s="271"/>
      <c r="X667" s="271"/>
      <c r="Y667" s="271"/>
      <c r="Z667" s="271"/>
    </row>
    <row r="668">
      <c r="A668" s="271"/>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row>
    <row r="669">
      <c r="A669" s="271"/>
      <c r="B669" s="271"/>
      <c r="C669" s="271"/>
      <c r="D669" s="271"/>
      <c r="E669" s="271"/>
      <c r="F669" s="271"/>
      <c r="G669" s="271"/>
      <c r="H669" s="271"/>
      <c r="I669" s="271"/>
      <c r="J669" s="271"/>
      <c r="K669" s="271"/>
      <c r="L669" s="271"/>
      <c r="M669" s="271"/>
      <c r="N669" s="271"/>
      <c r="O669" s="271"/>
      <c r="P669" s="271"/>
      <c r="Q669" s="271"/>
      <c r="R669" s="271"/>
      <c r="S669" s="271"/>
      <c r="T669" s="271"/>
      <c r="U669" s="271"/>
      <c r="V669" s="271"/>
      <c r="W669" s="271"/>
      <c r="X669" s="271"/>
      <c r="Y669" s="271"/>
      <c r="Z669" s="271"/>
    </row>
    <row r="670">
      <c r="A670" s="271"/>
      <c r="B670" s="271"/>
      <c r="C670" s="271"/>
      <c r="D670" s="271"/>
      <c r="E670" s="271"/>
      <c r="F670" s="271"/>
      <c r="G670" s="271"/>
      <c r="H670" s="271"/>
      <c r="I670" s="271"/>
      <c r="J670" s="271"/>
      <c r="K670" s="271"/>
      <c r="L670" s="271"/>
      <c r="M670" s="271"/>
      <c r="N670" s="271"/>
      <c r="O670" s="271"/>
      <c r="P670" s="271"/>
      <c r="Q670" s="271"/>
      <c r="R670" s="271"/>
      <c r="S670" s="271"/>
      <c r="T670" s="271"/>
      <c r="U670" s="271"/>
      <c r="V670" s="271"/>
      <c r="W670" s="271"/>
      <c r="X670" s="271"/>
      <c r="Y670" s="271"/>
      <c r="Z670" s="271"/>
    </row>
    <row r="671">
      <c r="A671" s="271"/>
      <c r="B671" s="271"/>
      <c r="C671" s="271"/>
      <c r="D671" s="271"/>
      <c r="E671" s="271"/>
      <c r="F671" s="271"/>
      <c r="G671" s="271"/>
      <c r="H671" s="271"/>
      <c r="I671" s="271"/>
      <c r="J671" s="271"/>
      <c r="K671" s="271"/>
      <c r="L671" s="271"/>
      <c r="M671" s="271"/>
      <c r="N671" s="271"/>
      <c r="O671" s="271"/>
      <c r="P671" s="271"/>
      <c r="Q671" s="271"/>
      <c r="R671" s="271"/>
      <c r="S671" s="271"/>
      <c r="T671" s="271"/>
      <c r="U671" s="271"/>
      <c r="V671" s="271"/>
      <c r="W671" s="271"/>
      <c r="X671" s="271"/>
      <c r="Y671" s="271"/>
      <c r="Z671" s="271"/>
    </row>
    <row r="672">
      <c r="A672" s="271"/>
      <c r="B672" s="271"/>
      <c r="C672" s="271"/>
      <c r="D672" s="271"/>
      <c r="E672" s="271"/>
      <c r="F672" s="271"/>
      <c r="G672" s="271"/>
      <c r="H672" s="271"/>
      <c r="I672" s="271"/>
      <c r="J672" s="271"/>
      <c r="K672" s="271"/>
      <c r="L672" s="271"/>
      <c r="M672" s="271"/>
      <c r="N672" s="271"/>
      <c r="O672" s="271"/>
      <c r="P672" s="271"/>
      <c r="Q672" s="271"/>
      <c r="R672" s="271"/>
      <c r="S672" s="271"/>
      <c r="T672" s="271"/>
      <c r="U672" s="271"/>
      <c r="V672" s="271"/>
      <c r="W672" s="271"/>
      <c r="X672" s="271"/>
      <c r="Y672" s="271"/>
      <c r="Z672" s="271"/>
    </row>
    <row r="673">
      <c r="A673" s="271"/>
      <c r="B673" s="271"/>
      <c r="C673" s="271"/>
      <c r="D673" s="271"/>
      <c r="E673" s="271"/>
      <c r="F673" s="271"/>
      <c r="G673" s="271"/>
      <c r="H673" s="271"/>
      <c r="I673" s="271"/>
      <c r="J673" s="271"/>
      <c r="K673" s="271"/>
      <c r="L673" s="271"/>
      <c r="M673" s="271"/>
      <c r="N673" s="271"/>
      <c r="O673" s="271"/>
      <c r="P673" s="271"/>
      <c r="Q673" s="271"/>
      <c r="R673" s="271"/>
      <c r="S673" s="271"/>
      <c r="T673" s="271"/>
      <c r="U673" s="271"/>
      <c r="V673" s="271"/>
      <c r="W673" s="271"/>
      <c r="X673" s="271"/>
      <c r="Y673" s="271"/>
      <c r="Z673" s="271"/>
    </row>
    <row r="674">
      <c r="A674" s="271"/>
      <c r="B674" s="271"/>
      <c r="C674" s="271"/>
      <c r="D674" s="271"/>
      <c r="E674" s="271"/>
      <c r="F674" s="271"/>
      <c r="G674" s="271"/>
      <c r="H674" s="271"/>
      <c r="I674" s="271"/>
      <c r="J674" s="271"/>
      <c r="K674" s="271"/>
      <c r="L674" s="271"/>
      <c r="M674" s="271"/>
      <c r="N674" s="271"/>
      <c r="O674" s="271"/>
      <c r="P674" s="271"/>
      <c r="Q674" s="271"/>
      <c r="R674" s="271"/>
      <c r="S674" s="271"/>
      <c r="T674" s="271"/>
      <c r="U674" s="271"/>
      <c r="V674" s="271"/>
      <c r="W674" s="271"/>
      <c r="X674" s="271"/>
      <c r="Y674" s="271"/>
      <c r="Z674" s="271"/>
    </row>
    <row r="675">
      <c r="A675" s="271"/>
      <c r="B675" s="271"/>
      <c r="C675" s="271"/>
      <c r="D675" s="271"/>
      <c r="E675" s="271"/>
      <c r="F675" s="271"/>
      <c r="G675" s="271"/>
      <c r="H675" s="271"/>
      <c r="I675" s="271"/>
      <c r="J675" s="271"/>
      <c r="K675" s="271"/>
      <c r="L675" s="271"/>
      <c r="M675" s="271"/>
      <c r="N675" s="271"/>
      <c r="O675" s="271"/>
      <c r="P675" s="271"/>
      <c r="Q675" s="271"/>
      <c r="R675" s="271"/>
      <c r="S675" s="271"/>
      <c r="T675" s="271"/>
      <c r="U675" s="271"/>
      <c r="V675" s="271"/>
      <c r="W675" s="271"/>
      <c r="X675" s="271"/>
      <c r="Y675" s="271"/>
      <c r="Z675" s="271"/>
    </row>
    <row r="676">
      <c r="A676" s="271"/>
      <c r="B676" s="271"/>
      <c r="C676" s="271"/>
      <c r="D676" s="271"/>
      <c r="E676" s="271"/>
      <c r="F676" s="271"/>
      <c r="G676" s="271"/>
      <c r="H676" s="271"/>
      <c r="I676" s="271"/>
      <c r="J676" s="271"/>
      <c r="K676" s="271"/>
      <c r="L676" s="271"/>
      <c r="M676" s="271"/>
      <c r="N676" s="271"/>
      <c r="O676" s="271"/>
      <c r="P676" s="271"/>
      <c r="Q676" s="271"/>
      <c r="R676" s="271"/>
      <c r="S676" s="271"/>
      <c r="T676" s="271"/>
      <c r="U676" s="271"/>
      <c r="V676" s="271"/>
      <c r="W676" s="271"/>
      <c r="X676" s="271"/>
      <c r="Y676" s="271"/>
      <c r="Z676" s="271"/>
    </row>
    <row r="677">
      <c r="A677" s="271"/>
      <c r="B677" s="271"/>
      <c r="C677" s="271"/>
      <c r="D677" s="271"/>
      <c r="E677" s="271"/>
      <c r="F677" s="271"/>
      <c r="G677" s="271"/>
      <c r="H677" s="271"/>
      <c r="I677" s="271"/>
      <c r="J677" s="271"/>
      <c r="K677" s="271"/>
      <c r="L677" s="271"/>
      <c r="M677" s="271"/>
      <c r="N677" s="271"/>
      <c r="O677" s="271"/>
      <c r="P677" s="271"/>
      <c r="Q677" s="271"/>
      <c r="R677" s="271"/>
      <c r="S677" s="271"/>
      <c r="T677" s="271"/>
      <c r="U677" s="271"/>
      <c r="V677" s="271"/>
      <c r="W677" s="271"/>
      <c r="X677" s="271"/>
      <c r="Y677" s="271"/>
      <c r="Z677" s="271"/>
    </row>
    <row r="678">
      <c r="A678" s="271"/>
      <c r="B678" s="271"/>
      <c r="C678" s="271"/>
      <c r="D678" s="271"/>
      <c r="E678" s="271"/>
      <c r="F678" s="271"/>
      <c r="G678" s="271"/>
      <c r="H678" s="271"/>
      <c r="I678" s="271"/>
      <c r="J678" s="271"/>
      <c r="K678" s="271"/>
      <c r="L678" s="271"/>
      <c r="M678" s="271"/>
      <c r="N678" s="271"/>
      <c r="O678" s="271"/>
      <c r="P678" s="271"/>
      <c r="Q678" s="271"/>
      <c r="R678" s="271"/>
      <c r="S678" s="271"/>
      <c r="T678" s="271"/>
      <c r="U678" s="271"/>
      <c r="V678" s="271"/>
      <c r="W678" s="271"/>
      <c r="X678" s="271"/>
      <c r="Y678" s="271"/>
      <c r="Z678" s="271"/>
    </row>
    <row r="679">
      <c r="A679" s="271"/>
      <c r="B679" s="271"/>
      <c r="C679" s="271"/>
      <c r="D679" s="271"/>
      <c r="E679" s="271"/>
      <c r="F679" s="271"/>
      <c r="G679" s="271"/>
      <c r="H679" s="271"/>
      <c r="I679" s="271"/>
      <c r="J679" s="271"/>
      <c r="K679" s="271"/>
      <c r="L679" s="271"/>
      <c r="M679" s="271"/>
      <c r="N679" s="271"/>
      <c r="O679" s="271"/>
      <c r="P679" s="271"/>
      <c r="Q679" s="271"/>
      <c r="R679" s="271"/>
      <c r="S679" s="271"/>
      <c r="T679" s="271"/>
      <c r="U679" s="271"/>
      <c r="V679" s="271"/>
      <c r="W679" s="271"/>
      <c r="X679" s="271"/>
      <c r="Y679" s="271"/>
      <c r="Z679" s="271"/>
    </row>
    <row r="680">
      <c r="A680" s="271"/>
      <c r="B680" s="271"/>
      <c r="C680" s="271"/>
      <c r="D680" s="271"/>
      <c r="E680" s="271"/>
      <c r="F680" s="271"/>
      <c r="G680" s="271"/>
      <c r="H680" s="271"/>
      <c r="I680" s="271"/>
      <c r="J680" s="271"/>
      <c r="K680" s="271"/>
      <c r="L680" s="271"/>
      <c r="M680" s="271"/>
      <c r="N680" s="271"/>
      <c r="O680" s="271"/>
      <c r="P680" s="271"/>
      <c r="Q680" s="271"/>
      <c r="R680" s="271"/>
      <c r="S680" s="271"/>
      <c r="T680" s="271"/>
      <c r="U680" s="271"/>
      <c r="V680" s="271"/>
      <c r="W680" s="271"/>
      <c r="X680" s="271"/>
      <c r="Y680" s="271"/>
      <c r="Z680" s="271"/>
    </row>
    <row r="681">
      <c r="A681" s="271"/>
      <c r="B681" s="271"/>
      <c r="C681" s="271"/>
      <c r="D681" s="271"/>
      <c r="E681" s="271"/>
      <c r="F681" s="271"/>
      <c r="G681" s="271"/>
      <c r="H681" s="271"/>
      <c r="I681" s="271"/>
      <c r="J681" s="271"/>
      <c r="K681" s="271"/>
      <c r="L681" s="271"/>
      <c r="M681" s="271"/>
      <c r="N681" s="271"/>
      <c r="O681" s="271"/>
      <c r="P681" s="271"/>
      <c r="Q681" s="271"/>
      <c r="R681" s="271"/>
      <c r="S681" s="271"/>
      <c r="T681" s="271"/>
      <c r="U681" s="271"/>
      <c r="V681" s="271"/>
      <c r="W681" s="271"/>
      <c r="X681" s="271"/>
      <c r="Y681" s="271"/>
      <c r="Z681" s="271"/>
    </row>
    <row r="682">
      <c r="A682" s="271"/>
      <c r="B682" s="271"/>
      <c r="C682" s="271"/>
      <c r="D682" s="271"/>
      <c r="E682" s="271"/>
      <c r="F682" s="271"/>
      <c r="G682" s="271"/>
      <c r="H682" s="271"/>
      <c r="I682" s="271"/>
      <c r="J682" s="271"/>
      <c r="K682" s="271"/>
      <c r="L682" s="271"/>
      <c r="M682" s="271"/>
      <c r="N682" s="271"/>
      <c r="O682" s="271"/>
      <c r="P682" s="271"/>
      <c r="Q682" s="271"/>
      <c r="R682" s="271"/>
      <c r="S682" s="271"/>
      <c r="T682" s="271"/>
      <c r="U682" s="271"/>
      <c r="V682" s="271"/>
      <c r="W682" s="271"/>
      <c r="X682" s="271"/>
      <c r="Y682" s="271"/>
      <c r="Z682" s="271"/>
    </row>
    <row r="683">
      <c r="A683" s="271"/>
      <c r="B683" s="271"/>
      <c r="C683" s="271"/>
      <c r="D683" s="271"/>
      <c r="E683" s="271"/>
      <c r="F683" s="271"/>
      <c r="G683" s="271"/>
      <c r="H683" s="271"/>
      <c r="I683" s="271"/>
      <c r="J683" s="271"/>
      <c r="K683" s="271"/>
      <c r="L683" s="271"/>
      <c r="M683" s="271"/>
      <c r="N683" s="271"/>
      <c r="O683" s="271"/>
      <c r="P683" s="271"/>
      <c r="Q683" s="271"/>
      <c r="R683" s="271"/>
      <c r="S683" s="271"/>
      <c r="T683" s="271"/>
      <c r="U683" s="271"/>
      <c r="V683" s="271"/>
      <c r="W683" s="271"/>
      <c r="X683" s="271"/>
      <c r="Y683" s="271"/>
      <c r="Z683" s="271"/>
    </row>
    <row r="684">
      <c r="A684" s="271"/>
      <c r="B684" s="271"/>
      <c r="C684" s="271"/>
      <c r="D684" s="271"/>
      <c r="E684" s="271"/>
      <c r="F684" s="271"/>
      <c r="G684" s="271"/>
      <c r="H684" s="271"/>
      <c r="I684" s="271"/>
      <c r="J684" s="271"/>
      <c r="K684" s="271"/>
      <c r="L684" s="271"/>
      <c r="M684" s="271"/>
      <c r="N684" s="271"/>
      <c r="O684" s="271"/>
      <c r="P684" s="271"/>
      <c r="Q684" s="271"/>
      <c r="R684" s="271"/>
      <c r="S684" s="271"/>
      <c r="T684" s="271"/>
      <c r="U684" s="271"/>
      <c r="V684" s="271"/>
      <c r="W684" s="271"/>
      <c r="X684" s="271"/>
      <c r="Y684" s="271"/>
      <c r="Z684" s="271"/>
    </row>
    <row r="685">
      <c r="A685" s="271"/>
      <c r="B685" s="271"/>
      <c r="C685" s="271"/>
      <c r="D685" s="271"/>
      <c r="E685" s="271"/>
      <c r="F685" s="271"/>
      <c r="G685" s="271"/>
      <c r="H685" s="271"/>
      <c r="I685" s="271"/>
      <c r="J685" s="271"/>
      <c r="K685" s="271"/>
      <c r="L685" s="271"/>
      <c r="M685" s="271"/>
      <c r="N685" s="271"/>
      <c r="O685" s="271"/>
      <c r="P685" s="271"/>
      <c r="Q685" s="271"/>
      <c r="R685" s="271"/>
      <c r="S685" s="271"/>
      <c r="T685" s="271"/>
      <c r="U685" s="271"/>
      <c r="V685" s="271"/>
      <c r="W685" s="271"/>
      <c r="X685" s="271"/>
      <c r="Y685" s="271"/>
      <c r="Z685" s="271"/>
    </row>
    <row r="686">
      <c r="A686" s="271"/>
      <c r="B686" s="271"/>
      <c r="C686" s="271"/>
      <c r="D686" s="271"/>
      <c r="E686" s="271"/>
      <c r="F686" s="271"/>
      <c r="G686" s="271"/>
      <c r="H686" s="271"/>
      <c r="I686" s="271"/>
      <c r="J686" s="271"/>
      <c r="K686" s="271"/>
      <c r="L686" s="271"/>
      <c r="M686" s="271"/>
      <c r="N686" s="271"/>
      <c r="O686" s="271"/>
      <c r="P686" s="271"/>
      <c r="Q686" s="271"/>
      <c r="R686" s="271"/>
      <c r="S686" s="271"/>
      <c r="T686" s="271"/>
      <c r="U686" s="271"/>
      <c r="V686" s="271"/>
      <c r="W686" s="271"/>
      <c r="X686" s="271"/>
      <c r="Y686" s="271"/>
      <c r="Z686" s="271"/>
    </row>
    <row r="687">
      <c r="A687" s="271"/>
      <c r="B687" s="271"/>
      <c r="C687" s="271"/>
      <c r="D687" s="271"/>
      <c r="E687" s="271"/>
      <c r="F687" s="271"/>
      <c r="G687" s="271"/>
      <c r="H687" s="271"/>
      <c r="I687" s="271"/>
      <c r="J687" s="271"/>
      <c r="K687" s="271"/>
      <c r="L687" s="271"/>
      <c r="M687" s="271"/>
      <c r="N687" s="271"/>
      <c r="O687" s="271"/>
      <c r="P687" s="271"/>
      <c r="Q687" s="271"/>
      <c r="R687" s="271"/>
      <c r="S687" s="271"/>
      <c r="T687" s="271"/>
      <c r="U687" s="271"/>
      <c r="V687" s="271"/>
      <c r="W687" s="271"/>
      <c r="X687" s="271"/>
      <c r="Y687" s="271"/>
      <c r="Z687" s="271"/>
    </row>
    <row r="688">
      <c r="A688" s="271"/>
      <c r="B688" s="271"/>
      <c r="C688" s="271"/>
      <c r="D688" s="271"/>
      <c r="E688" s="271"/>
      <c r="F688" s="271"/>
      <c r="G688" s="271"/>
      <c r="H688" s="271"/>
      <c r="I688" s="271"/>
      <c r="J688" s="271"/>
      <c r="K688" s="271"/>
      <c r="L688" s="271"/>
      <c r="M688" s="271"/>
      <c r="N688" s="271"/>
      <c r="O688" s="271"/>
      <c r="P688" s="271"/>
      <c r="Q688" s="271"/>
      <c r="R688" s="271"/>
      <c r="S688" s="271"/>
      <c r="T688" s="271"/>
      <c r="U688" s="271"/>
      <c r="V688" s="271"/>
      <c r="W688" s="271"/>
      <c r="X688" s="271"/>
      <c r="Y688" s="271"/>
      <c r="Z688" s="271"/>
    </row>
    <row r="689">
      <c r="A689" s="271"/>
      <c r="B689" s="271"/>
      <c r="C689" s="271"/>
      <c r="D689" s="271"/>
      <c r="E689" s="271"/>
      <c r="F689" s="271"/>
      <c r="G689" s="271"/>
      <c r="H689" s="271"/>
      <c r="I689" s="271"/>
      <c r="J689" s="271"/>
      <c r="K689" s="271"/>
      <c r="L689" s="271"/>
      <c r="M689" s="271"/>
      <c r="N689" s="271"/>
      <c r="O689" s="271"/>
      <c r="P689" s="271"/>
      <c r="Q689" s="271"/>
      <c r="R689" s="271"/>
      <c r="S689" s="271"/>
      <c r="T689" s="271"/>
      <c r="U689" s="271"/>
      <c r="V689" s="271"/>
      <c r="W689" s="271"/>
      <c r="X689" s="271"/>
      <c r="Y689" s="271"/>
      <c r="Z689" s="271"/>
    </row>
    <row r="690">
      <c r="A690" s="271"/>
      <c r="B690" s="271"/>
      <c r="C690" s="271"/>
      <c r="D690" s="271"/>
      <c r="E690" s="271"/>
      <c r="F690" s="271"/>
      <c r="G690" s="271"/>
      <c r="H690" s="271"/>
      <c r="I690" s="271"/>
      <c r="J690" s="271"/>
      <c r="K690" s="271"/>
      <c r="L690" s="271"/>
      <c r="M690" s="271"/>
      <c r="N690" s="271"/>
      <c r="O690" s="271"/>
      <c r="P690" s="271"/>
      <c r="Q690" s="271"/>
      <c r="R690" s="271"/>
      <c r="S690" s="271"/>
      <c r="T690" s="271"/>
      <c r="U690" s="271"/>
      <c r="V690" s="271"/>
      <c r="W690" s="271"/>
      <c r="X690" s="271"/>
      <c r="Y690" s="271"/>
      <c r="Z690" s="271"/>
    </row>
    <row r="691">
      <c r="A691" s="271"/>
      <c r="B691" s="271"/>
      <c r="C691" s="271"/>
      <c r="D691" s="271"/>
      <c r="E691" s="271"/>
      <c r="F691" s="271"/>
      <c r="G691" s="271"/>
      <c r="H691" s="271"/>
      <c r="I691" s="271"/>
      <c r="J691" s="271"/>
      <c r="K691" s="271"/>
      <c r="L691" s="271"/>
      <c r="M691" s="271"/>
      <c r="N691" s="271"/>
      <c r="O691" s="271"/>
      <c r="P691" s="271"/>
      <c r="Q691" s="271"/>
      <c r="R691" s="271"/>
      <c r="S691" s="271"/>
      <c r="T691" s="271"/>
      <c r="U691" s="271"/>
      <c r="V691" s="271"/>
      <c r="W691" s="271"/>
      <c r="X691" s="271"/>
      <c r="Y691" s="271"/>
      <c r="Z691" s="271"/>
    </row>
    <row r="692">
      <c r="A692" s="271"/>
      <c r="B692" s="271"/>
      <c r="C692" s="271"/>
      <c r="D692" s="271"/>
      <c r="E692" s="271"/>
      <c r="F692" s="271"/>
      <c r="G692" s="271"/>
      <c r="H692" s="271"/>
      <c r="I692" s="271"/>
      <c r="J692" s="271"/>
      <c r="K692" s="271"/>
      <c r="L692" s="271"/>
      <c r="M692" s="271"/>
      <c r="N692" s="271"/>
      <c r="O692" s="271"/>
      <c r="P692" s="271"/>
      <c r="Q692" s="271"/>
      <c r="R692" s="271"/>
      <c r="S692" s="271"/>
      <c r="T692" s="271"/>
      <c r="U692" s="271"/>
      <c r="V692" s="271"/>
      <c r="W692" s="271"/>
      <c r="X692" s="271"/>
      <c r="Y692" s="271"/>
      <c r="Z692" s="271"/>
    </row>
    <row r="693">
      <c r="A693" s="271"/>
      <c r="B693" s="271"/>
      <c r="C693" s="271"/>
      <c r="D693" s="271"/>
      <c r="E693" s="271"/>
      <c r="F693" s="271"/>
      <c r="G693" s="271"/>
      <c r="H693" s="271"/>
      <c r="I693" s="271"/>
      <c r="J693" s="271"/>
      <c r="K693" s="271"/>
      <c r="L693" s="271"/>
      <c r="M693" s="271"/>
      <c r="N693" s="271"/>
      <c r="O693" s="271"/>
      <c r="P693" s="271"/>
      <c r="Q693" s="271"/>
      <c r="R693" s="271"/>
      <c r="S693" s="271"/>
      <c r="T693" s="271"/>
      <c r="U693" s="271"/>
      <c r="V693" s="271"/>
      <c r="W693" s="271"/>
      <c r="X693" s="271"/>
      <c r="Y693" s="271"/>
      <c r="Z693" s="271"/>
    </row>
    <row r="694">
      <c r="A694" s="271"/>
      <c r="B694" s="271"/>
      <c r="C694" s="271"/>
      <c r="D694" s="271"/>
      <c r="E694" s="271"/>
      <c r="F694" s="271"/>
      <c r="G694" s="271"/>
      <c r="H694" s="271"/>
      <c r="I694" s="271"/>
      <c r="J694" s="271"/>
      <c r="K694" s="271"/>
      <c r="L694" s="271"/>
      <c r="M694" s="271"/>
      <c r="N694" s="271"/>
      <c r="O694" s="271"/>
      <c r="P694" s="271"/>
      <c r="Q694" s="271"/>
      <c r="R694" s="271"/>
      <c r="S694" s="271"/>
      <c r="T694" s="271"/>
      <c r="U694" s="271"/>
      <c r="V694" s="271"/>
      <c r="W694" s="271"/>
      <c r="X694" s="271"/>
      <c r="Y694" s="271"/>
      <c r="Z694" s="271"/>
    </row>
    <row r="695">
      <c r="A695" s="271"/>
      <c r="B695" s="271"/>
      <c r="C695" s="271"/>
      <c r="D695" s="271"/>
      <c r="E695" s="271"/>
      <c r="F695" s="271"/>
      <c r="G695" s="271"/>
      <c r="H695" s="271"/>
      <c r="I695" s="271"/>
      <c r="J695" s="271"/>
      <c r="K695" s="271"/>
      <c r="L695" s="271"/>
      <c r="M695" s="271"/>
      <c r="N695" s="271"/>
      <c r="O695" s="271"/>
      <c r="P695" s="271"/>
      <c r="Q695" s="271"/>
      <c r="R695" s="271"/>
      <c r="S695" s="271"/>
      <c r="T695" s="271"/>
      <c r="U695" s="271"/>
      <c r="V695" s="271"/>
      <c r="W695" s="271"/>
      <c r="X695" s="271"/>
      <c r="Y695" s="271"/>
      <c r="Z695" s="271"/>
    </row>
    <row r="696">
      <c r="A696" s="271"/>
      <c r="B696" s="271"/>
      <c r="C696" s="271"/>
      <c r="D696" s="271"/>
      <c r="E696" s="271"/>
      <c r="F696" s="271"/>
      <c r="G696" s="271"/>
      <c r="H696" s="271"/>
      <c r="I696" s="271"/>
      <c r="J696" s="271"/>
      <c r="K696" s="271"/>
      <c r="L696" s="271"/>
      <c r="M696" s="271"/>
      <c r="N696" s="271"/>
      <c r="O696" s="271"/>
      <c r="P696" s="271"/>
      <c r="Q696" s="271"/>
      <c r="R696" s="271"/>
      <c r="S696" s="271"/>
      <c r="T696" s="271"/>
      <c r="U696" s="271"/>
      <c r="V696" s="271"/>
      <c r="W696" s="271"/>
      <c r="X696" s="271"/>
      <c r="Y696" s="271"/>
      <c r="Z696" s="271"/>
    </row>
    <row r="697">
      <c r="A697" s="271"/>
      <c r="B697" s="271"/>
      <c r="C697" s="271"/>
      <c r="D697" s="271"/>
      <c r="E697" s="271"/>
      <c r="F697" s="271"/>
      <c r="G697" s="271"/>
      <c r="H697" s="271"/>
      <c r="I697" s="271"/>
      <c r="J697" s="271"/>
      <c r="K697" s="271"/>
      <c r="L697" s="271"/>
      <c r="M697" s="271"/>
      <c r="N697" s="271"/>
      <c r="O697" s="271"/>
      <c r="P697" s="271"/>
      <c r="Q697" s="271"/>
      <c r="R697" s="271"/>
      <c r="S697" s="271"/>
      <c r="T697" s="271"/>
      <c r="U697" s="271"/>
      <c r="V697" s="271"/>
      <c r="W697" s="271"/>
      <c r="X697" s="271"/>
      <c r="Y697" s="271"/>
      <c r="Z697" s="271"/>
    </row>
    <row r="698">
      <c r="A698" s="271"/>
      <c r="B698" s="271"/>
      <c r="C698" s="271"/>
      <c r="D698" s="271"/>
      <c r="E698" s="271"/>
      <c r="F698" s="271"/>
      <c r="G698" s="271"/>
      <c r="H698" s="271"/>
      <c r="I698" s="271"/>
      <c r="J698" s="271"/>
      <c r="K698" s="271"/>
      <c r="L698" s="271"/>
      <c r="M698" s="271"/>
      <c r="N698" s="271"/>
      <c r="O698" s="271"/>
      <c r="P698" s="271"/>
      <c r="Q698" s="271"/>
      <c r="R698" s="271"/>
      <c r="S698" s="271"/>
      <c r="T698" s="271"/>
      <c r="U698" s="271"/>
      <c r="V698" s="271"/>
      <c r="W698" s="271"/>
      <c r="X698" s="271"/>
      <c r="Y698" s="271"/>
      <c r="Z698" s="271"/>
    </row>
    <row r="699">
      <c r="A699" s="271"/>
      <c r="B699" s="271"/>
      <c r="C699" s="271"/>
      <c r="D699" s="271"/>
      <c r="E699" s="271"/>
      <c r="F699" s="271"/>
      <c r="G699" s="271"/>
      <c r="H699" s="271"/>
      <c r="I699" s="271"/>
      <c r="J699" s="271"/>
      <c r="K699" s="271"/>
      <c r="L699" s="271"/>
      <c r="M699" s="271"/>
      <c r="N699" s="271"/>
      <c r="O699" s="271"/>
      <c r="P699" s="271"/>
      <c r="Q699" s="271"/>
      <c r="R699" s="271"/>
      <c r="S699" s="271"/>
      <c r="T699" s="271"/>
      <c r="U699" s="271"/>
      <c r="V699" s="271"/>
      <c r="W699" s="271"/>
      <c r="X699" s="271"/>
      <c r="Y699" s="271"/>
      <c r="Z699" s="271"/>
    </row>
    <row r="700">
      <c r="A700" s="271"/>
      <c r="B700" s="271"/>
      <c r="C700" s="271"/>
      <c r="D700" s="271"/>
      <c r="E700" s="271"/>
      <c r="F700" s="271"/>
      <c r="G700" s="271"/>
      <c r="H700" s="271"/>
      <c r="I700" s="271"/>
      <c r="J700" s="271"/>
      <c r="K700" s="271"/>
      <c r="L700" s="271"/>
      <c r="M700" s="271"/>
      <c r="N700" s="271"/>
      <c r="O700" s="271"/>
      <c r="P700" s="271"/>
      <c r="Q700" s="271"/>
      <c r="R700" s="271"/>
      <c r="S700" s="271"/>
      <c r="T700" s="271"/>
      <c r="U700" s="271"/>
      <c r="V700" s="271"/>
      <c r="W700" s="271"/>
      <c r="X700" s="271"/>
      <c r="Y700" s="271"/>
      <c r="Z700" s="271"/>
    </row>
    <row r="701">
      <c r="A701" s="271"/>
      <c r="B701" s="271"/>
      <c r="C701" s="271"/>
      <c r="D701" s="271"/>
      <c r="E701" s="271"/>
      <c r="F701" s="271"/>
      <c r="G701" s="271"/>
      <c r="H701" s="271"/>
      <c r="I701" s="271"/>
      <c r="J701" s="271"/>
      <c r="K701" s="271"/>
      <c r="L701" s="271"/>
      <c r="M701" s="271"/>
      <c r="N701" s="271"/>
      <c r="O701" s="271"/>
      <c r="P701" s="271"/>
      <c r="Q701" s="271"/>
      <c r="R701" s="271"/>
      <c r="S701" s="271"/>
      <c r="T701" s="271"/>
      <c r="U701" s="271"/>
      <c r="V701" s="271"/>
      <c r="W701" s="271"/>
      <c r="X701" s="271"/>
      <c r="Y701" s="271"/>
      <c r="Z701" s="271"/>
    </row>
    <row r="702">
      <c r="A702" s="271"/>
      <c r="B702" s="271"/>
      <c r="C702" s="271"/>
      <c r="D702" s="271"/>
      <c r="E702" s="271"/>
      <c r="F702" s="271"/>
      <c r="G702" s="271"/>
      <c r="H702" s="271"/>
      <c r="I702" s="271"/>
      <c r="J702" s="271"/>
      <c r="K702" s="271"/>
      <c r="L702" s="271"/>
      <c r="M702" s="271"/>
      <c r="N702" s="271"/>
      <c r="O702" s="271"/>
      <c r="P702" s="271"/>
      <c r="Q702" s="271"/>
      <c r="R702" s="271"/>
      <c r="S702" s="271"/>
      <c r="T702" s="271"/>
      <c r="U702" s="271"/>
      <c r="V702" s="271"/>
      <c r="W702" s="271"/>
      <c r="X702" s="271"/>
      <c r="Y702" s="271"/>
      <c r="Z702" s="271"/>
    </row>
    <row r="703">
      <c r="A703" s="271"/>
      <c r="B703" s="271"/>
      <c r="C703" s="271"/>
      <c r="D703" s="271"/>
      <c r="E703" s="271"/>
      <c r="F703" s="271"/>
      <c r="G703" s="271"/>
      <c r="H703" s="271"/>
      <c r="I703" s="271"/>
      <c r="J703" s="271"/>
      <c r="K703" s="271"/>
      <c r="L703" s="271"/>
      <c r="M703" s="271"/>
      <c r="N703" s="271"/>
      <c r="O703" s="271"/>
      <c r="P703" s="271"/>
      <c r="Q703" s="271"/>
      <c r="R703" s="271"/>
      <c r="S703" s="271"/>
      <c r="T703" s="271"/>
      <c r="U703" s="271"/>
      <c r="V703" s="271"/>
      <c r="W703" s="271"/>
      <c r="X703" s="271"/>
      <c r="Y703" s="271"/>
      <c r="Z703" s="271"/>
    </row>
    <row r="704">
      <c r="A704" s="271"/>
      <c r="B704" s="271"/>
      <c r="C704" s="271"/>
      <c r="D704" s="271"/>
      <c r="E704" s="271"/>
      <c r="F704" s="271"/>
      <c r="G704" s="271"/>
      <c r="H704" s="271"/>
      <c r="I704" s="271"/>
      <c r="J704" s="271"/>
      <c r="K704" s="271"/>
      <c r="L704" s="271"/>
      <c r="M704" s="271"/>
      <c r="N704" s="271"/>
      <c r="O704" s="271"/>
      <c r="P704" s="271"/>
      <c r="Q704" s="271"/>
      <c r="R704" s="271"/>
      <c r="S704" s="271"/>
      <c r="T704" s="271"/>
      <c r="U704" s="271"/>
      <c r="V704" s="271"/>
      <c r="W704" s="271"/>
      <c r="X704" s="271"/>
      <c r="Y704" s="271"/>
      <c r="Z704" s="271"/>
    </row>
    <row r="705">
      <c r="A705" s="271"/>
      <c r="B705" s="271"/>
      <c r="C705" s="271"/>
      <c r="D705" s="271"/>
      <c r="E705" s="271"/>
      <c r="F705" s="271"/>
      <c r="G705" s="271"/>
      <c r="H705" s="271"/>
      <c r="I705" s="271"/>
      <c r="J705" s="271"/>
      <c r="K705" s="271"/>
      <c r="L705" s="271"/>
      <c r="M705" s="271"/>
      <c r="N705" s="271"/>
      <c r="O705" s="271"/>
      <c r="P705" s="271"/>
      <c r="Q705" s="271"/>
      <c r="R705" s="271"/>
      <c r="S705" s="271"/>
      <c r="T705" s="271"/>
      <c r="U705" s="271"/>
      <c r="V705" s="271"/>
      <c r="W705" s="271"/>
      <c r="X705" s="271"/>
      <c r="Y705" s="271"/>
      <c r="Z705" s="271"/>
    </row>
    <row r="706">
      <c r="A706" s="271"/>
      <c r="B706" s="271"/>
      <c r="C706" s="271"/>
      <c r="D706" s="271"/>
      <c r="E706" s="271"/>
      <c r="F706" s="271"/>
      <c r="G706" s="271"/>
      <c r="H706" s="271"/>
      <c r="I706" s="271"/>
      <c r="J706" s="271"/>
      <c r="K706" s="271"/>
      <c r="L706" s="271"/>
      <c r="M706" s="271"/>
      <c r="N706" s="271"/>
      <c r="O706" s="271"/>
      <c r="P706" s="271"/>
      <c r="Q706" s="271"/>
      <c r="R706" s="271"/>
      <c r="S706" s="271"/>
      <c r="T706" s="271"/>
      <c r="U706" s="271"/>
      <c r="V706" s="271"/>
      <c r="W706" s="271"/>
      <c r="X706" s="271"/>
      <c r="Y706" s="271"/>
      <c r="Z706" s="271"/>
    </row>
    <row r="707">
      <c r="A707" s="271"/>
      <c r="B707" s="271"/>
      <c r="C707" s="271"/>
      <c r="D707" s="271"/>
      <c r="E707" s="271"/>
      <c r="F707" s="271"/>
      <c r="G707" s="271"/>
      <c r="H707" s="271"/>
      <c r="I707" s="271"/>
      <c r="J707" s="271"/>
      <c r="K707" s="271"/>
      <c r="L707" s="271"/>
      <c r="M707" s="271"/>
      <c r="N707" s="271"/>
      <c r="O707" s="271"/>
      <c r="P707" s="271"/>
      <c r="Q707" s="271"/>
      <c r="R707" s="271"/>
      <c r="S707" s="271"/>
      <c r="T707" s="271"/>
      <c r="U707" s="271"/>
      <c r="V707" s="271"/>
      <c r="W707" s="271"/>
      <c r="X707" s="271"/>
      <c r="Y707" s="271"/>
      <c r="Z707" s="271"/>
    </row>
    <row r="708">
      <c r="A708" s="271"/>
      <c r="B708" s="271"/>
      <c r="C708" s="271"/>
      <c r="D708" s="271"/>
      <c r="E708" s="271"/>
      <c r="F708" s="271"/>
      <c r="G708" s="271"/>
      <c r="H708" s="271"/>
      <c r="I708" s="271"/>
      <c r="J708" s="271"/>
      <c r="K708" s="271"/>
      <c r="L708" s="271"/>
      <c r="M708" s="271"/>
      <c r="N708" s="271"/>
      <c r="O708" s="271"/>
      <c r="P708" s="271"/>
      <c r="Q708" s="271"/>
      <c r="R708" s="271"/>
      <c r="S708" s="271"/>
      <c r="T708" s="271"/>
      <c r="U708" s="271"/>
      <c r="V708" s="271"/>
      <c r="W708" s="271"/>
      <c r="X708" s="271"/>
      <c r="Y708" s="271"/>
      <c r="Z708" s="271"/>
    </row>
    <row r="709">
      <c r="A709" s="271"/>
      <c r="B709" s="271"/>
      <c r="C709" s="271"/>
      <c r="D709" s="271"/>
      <c r="E709" s="271"/>
      <c r="F709" s="271"/>
      <c r="G709" s="271"/>
      <c r="H709" s="271"/>
      <c r="I709" s="271"/>
      <c r="J709" s="271"/>
      <c r="K709" s="271"/>
      <c r="L709" s="271"/>
      <c r="M709" s="271"/>
      <c r="N709" s="271"/>
      <c r="O709" s="271"/>
      <c r="P709" s="271"/>
      <c r="Q709" s="271"/>
      <c r="R709" s="271"/>
      <c r="S709" s="271"/>
      <c r="T709" s="271"/>
      <c r="U709" s="271"/>
      <c r="V709" s="271"/>
      <c r="W709" s="271"/>
      <c r="X709" s="271"/>
      <c r="Y709" s="271"/>
      <c r="Z709" s="271"/>
    </row>
    <row r="710">
      <c r="A710" s="271"/>
      <c r="B710" s="271"/>
      <c r="C710" s="271"/>
      <c r="D710" s="271"/>
      <c r="E710" s="271"/>
      <c r="F710" s="271"/>
      <c r="G710" s="271"/>
      <c r="H710" s="271"/>
      <c r="I710" s="271"/>
      <c r="J710" s="271"/>
      <c r="K710" s="271"/>
      <c r="L710" s="271"/>
      <c r="M710" s="271"/>
      <c r="N710" s="271"/>
      <c r="O710" s="271"/>
      <c r="P710" s="271"/>
      <c r="Q710" s="271"/>
      <c r="R710" s="271"/>
      <c r="S710" s="271"/>
      <c r="T710" s="271"/>
      <c r="U710" s="271"/>
      <c r="V710" s="271"/>
      <c r="W710" s="271"/>
      <c r="X710" s="271"/>
      <c r="Y710" s="271"/>
      <c r="Z710" s="271"/>
    </row>
    <row r="711">
      <c r="A711" s="271"/>
      <c r="B711" s="271"/>
      <c r="C711" s="271"/>
      <c r="D711" s="271"/>
      <c r="E711" s="271"/>
      <c r="F711" s="271"/>
      <c r="G711" s="271"/>
      <c r="H711" s="271"/>
      <c r="I711" s="271"/>
      <c r="J711" s="271"/>
      <c r="K711" s="271"/>
      <c r="L711" s="271"/>
      <c r="M711" s="271"/>
      <c r="N711" s="271"/>
      <c r="O711" s="271"/>
      <c r="P711" s="271"/>
      <c r="Q711" s="271"/>
      <c r="R711" s="271"/>
      <c r="S711" s="271"/>
      <c r="T711" s="271"/>
      <c r="U711" s="271"/>
      <c r="V711" s="271"/>
      <c r="W711" s="271"/>
      <c r="X711" s="271"/>
      <c r="Y711" s="271"/>
      <c r="Z711" s="271"/>
    </row>
    <row r="712">
      <c r="A712" s="271"/>
      <c r="B712" s="271"/>
      <c r="C712" s="271"/>
      <c r="D712" s="271"/>
      <c r="E712" s="271"/>
      <c r="F712" s="271"/>
      <c r="G712" s="271"/>
      <c r="H712" s="271"/>
      <c r="I712" s="271"/>
      <c r="J712" s="271"/>
      <c r="K712" s="271"/>
      <c r="L712" s="271"/>
      <c r="M712" s="271"/>
      <c r="N712" s="271"/>
      <c r="O712" s="271"/>
      <c r="P712" s="271"/>
      <c r="Q712" s="271"/>
      <c r="R712" s="271"/>
      <c r="S712" s="271"/>
      <c r="T712" s="271"/>
      <c r="U712" s="271"/>
      <c r="V712" s="271"/>
      <c r="W712" s="271"/>
      <c r="X712" s="271"/>
      <c r="Y712" s="271"/>
      <c r="Z712" s="271"/>
    </row>
    <row r="713">
      <c r="A713" s="271"/>
      <c r="B713" s="271"/>
      <c r="C713" s="271"/>
      <c r="D713" s="271"/>
      <c r="E713" s="271"/>
      <c r="F713" s="271"/>
      <c r="G713" s="271"/>
      <c r="H713" s="271"/>
      <c r="I713" s="271"/>
      <c r="J713" s="271"/>
      <c r="K713" s="271"/>
      <c r="L713" s="271"/>
      <c r="M713" s="271"/>
      <c r="N713" s="271"/>
      <c r="O713" s="271"/>
      <c r="P713" s="271"/>
      <c r="Q713" s="271"/>
      <c r="R713" s="271"/>
      <c r="S713" s="271"/>
      <c r="T713" s="271"/>
      <c r="U713" s="271"/>
      <c r="V713" s="271"/>
      <c r="W713" s="271"/>
      <c r="X713" s="271"/>
      <c r="Y713" s="271"/>
      <c r="Z713" s="271"/>
    </row>
    <row r="714">
      <c r="A714" s="271"/>
      <c r="B714" s="271"/>
      <c r="C714" s="271"/>
      <c r="D714" s="271"/>
      <c r="E714" s="271"/>
      <c r="F714" s="271"/>
      <c r="G714" s="271"/>
      <c r="H714" s="271"/>
      <c r="I714" s="271"/>
      <c r="J714" s="271"/>
      <c r="K714" s="271"/>
      <c r="L714" s="271"/>
      <c r="M714" s="271"/>
      <c r="N714" s="271"/>
      <c r="O714" s="271"/>
      <c r="P714" s="271"/>
      <c r="Q714" s="271"/>
      <c r="R714" s="271"/>
      <c r="S714" s="271"/>
      <c r="T714" s="271"/>
      <c r="U714" s="271"/>
      <c r="V714" s="271"/>
      <c r="W714" s="271"/>
      <c r="X714" s="271"/>
      <c r="Y714" s="271"/>
      <c r="Z714" s="271"/>
    </row>
    <row r="715">
      <c r="A715" s="271"/>
      <c r="B715" s="271"/>
      <c r="C715" s="271"/>
      <c r="D715" s="271"/>
      <c r="E715" s="271"/>
      <c r="F715" s="271"/>
      <c r="G715" s="271"/>
      <c r="H715" s="271"/>
      <c r="I715" s="271"/>
      <c r="J715" s="271"/>
      <c r="K715" s="271"/>
      <c r="L715" s="271"/>
      <c r="M715" s="271"/>
      <c r="N715" s="271"/>
      <c r="O715" s="271"/>
      <c r="P715" s="271"/>
      <c r="Q715" s="271"/>
      <c r="R715" s="271"/>
      <c r="S715" s="271"/>
      <c r="T715" s="271"/>
      <c r="U715" s="271"/>
      <c r="V715" s="271"/>
      <c r="W715" s="271"/>
      <c r="X715" s="271"/>
      <c r="Y715" s="271"/>
      <c r="Z715" s="271"/>
    </row>
    <row r="716">
      <c r="A716" s="271"/>
      <c r="B716" s="271"/>
      <c r="C716" s="271"/>
      <c r="D716" s="271"/>
      <c r="E716" s="271"/>
      <c r="F716" s="271"/>
      <c r="G716" s="271"/>
      <c r="H716" s="271"/>
      <c r="I716" s="271"/>
      <c r="J716" s="271"/>
      <c r="K716" s="271"/>
      <c r="L716" s="271"/>
      <c r="M716" s="271"/>
      <c r="N716" s="271"/>
      <c r="O716" s="271"/>
      <c r="P716" s="271"/>
      <c r="Q716" s="271"/>
      <c r="R716" s="271"/>
      <c r="S716" s="271"/>
      <c r="T716" s="271"/>
      <c r="U716" s="271"/>
      <c r="V716" s="271"/>
      <c r="W716" s="271"/>
      <c r="X716" s="271"/>
      <c r="Y716" s="271"/>
      <c r="Z716" s="271"/>
    </row>
    <row r="717">
      <c r="A717" s="271"/>
      <c r="B717" s="271"/>
      <c r="C717" s="271"/>
      <c r="D717" s="271"/>
      <c r="E717" s="271"/>
      <c r="F717" s="271"/>
      <c r="G717" s="271"/>
      <c r="H717" s="271"/>
      <c r="I717" s="271"/>
      <c r="J717" s="271"/>
      <c r="K717" s="271"/>
      <c r="L717" s="271"/>
      <c r="M717" s="271"/>
      <c r="N717" s="271"/>
      <c r="O717" s="271"/>
      <c r="P717" s="271"/>
      <c r="Q717" s="271"/>
      <c r="R717" s="271"/>
      <c r="S717" s="271"/>
      <c r="T717" s="271"/>
      <c r="U717" s="271"/>
      <c r="V717" s="271"/>
      <c r="W717" s="271"/>
      <c r="X717" s="271"/>
      <c r="Y717" s="271"/>
      <c r="Z717" s="271"/>
    </row>
    <row r="718">
      <c r="A718" s="271"/>
      <c r="B718" s="271"/>
      <c r="C718" s="271"/>
      <c r="D718" s="271"/>
      <c r="E718" s="271"/>
      <c r="F718" s="271"/>
      <c r="G718" s="271"/>
      <c r="H718" s="271"/>
      <c r="I718" s="271"/>
      <c r="J718" s="271"/>
      <c r="K718" s="271"/>
      <c r="L718" s="271"/>
      <c r="M718" s="271"/>
      <c r="N718" s="271"/>
      <c r="O718" s="271"/>
      <c r="P718" s="271"/>
      <c r="Q718" s="271"/>
      <c r="R718" s="271"/>
      <c r="S718" s="271"/>
      <c r="T718" s="271"/>
      <c r="U718" s="271"/>
      <c r="V718" s="271"/>
      <c r="W718" s="271"/>
      <c r="X718" s="271"/>
      <c r="Y718" s="271"/>
      <c r="Z718" s="271"/>
    </row>
    <row r="719">
      <c r="A719" s="271"/>
      <c r="B719" s="271"/>
      <c r="C719" s="271"/>
      <c r="D719" s="271"/>
      <c r="E719" s="271"/>
      <c r="F719" s="271"/>
      <c r="G719" s="271"/>
      <c r="H719" s="271"/>
      <c r="I719" s="271"/>
      <c r="J719" s="271"/>
      <c r="K719" s="271"/>
      <c r="L719" s="271"/>
      <c r="M719" s="271"/>
      <c r="N719" s="271"/>
      <c r="O719" s="271"/>
      <c r="P719" s="271"/>
      <c r="Q719" s="271"/>
      <c r="R719" s="271"/>
      <c r="S719" s="271"/>
      <c r="T719" s="271"/>
      <c r="U719" s="271"/>
      <c r="V719" s="271"/>
      <c r="W719" s="271"/>
      <c r="X719" s="271"/>
      <c r="Y719" s="271"/>
      <c r="Z719" s="271"/>
    </row>
    <row r="720">
      <c r="A720" s="271"/>
      <c r="B720" s="271"/>
      <c r="C720" s="271"/>
      <c r="D720" s="271"/>
      <c r="E720" s="271"/>
      <c r="F720" s="271"/>
      <c r="G720" s="271"/>
      <c r="H720" s="271"/>
      <c r="I720" s="271"/>
      <c r="J720" s="271"/>
      <c r="K720" s="271"/>
      <c r="L720" s="271"/>
      <c r="M720" s="271"/>
      <c r="N720" s="271"/>
      <c r="O720" s="271"/>
      <c r="P720" s="271"/>
      <c r="Q720" s="271"/>
      <c r="R720" s="271"/>
      <c r="S720" s="271"/>
      <c r="T720" s="271"/>
      <c r="U720" s="271"/>
      <c r="V720" s="271"/>
      <c r="W720" s="271"/>
      <c r="X720" s="271"/>
      <c r="Y720" s="271"/>
      <c r="Z720" s="271"/>
    </row>
    <row r="721">
      <c r="A721" s="271"/>
      <c r="B721" s="271"/>
      <c r="C721" s="271"/>
      <c r="D721" s="271"/>
      <c r="E721" s="271"/>
      <c r="F721" s="271"/>
      <c r="G721" s="271"/>
      <c r="H721" s="271"/>
      <c r="I721" s="271"/>
      <c r="J721" s="271"/>
      <c r="K721" s="271"/>
      <c r="L721" s="271"/>
      <c r="M721" s="271"/>
      <c r="N721" s="271"/>
      <c r="O721" s="271"/>
      <c r="P721" s="271"/>
      <c r="Q721" s="271"/>
      <c r="R721" s="271"/>
      <c r="S721" s="271"/>
      <c r="T721" s="271"/>
      <c r="U721" s="271"/>
      <c r="V721" s="271"/>
      <c r="W721" s="271"/>
      <c r="X721" s="271"/>
      <c r="Y721" s="271"/>
      <c r="Z721" s="271"/>
    </row>
    <row r="722">
      <c r="A722" s="271"/>
      <c r="B722" s="271"/>
      <c r="C722" s="271"/>
      <c r="D722" s="271"/>
      <c r="E722" s="271"/>
      <c r="F722" s="271"/>
      <c r="G722" s="271"/>
      <c r="H722" s="271"/>
      <c r="I722" s="271"/>
      <c r="J722" s="271"/>
      <c r="K722" s="271"/>
      <c r="L722" s="271"/>
      <c r="M722" s="271"/>
      <c r="N722" s="271"/>
      <c r="O722" s="271"/>
      <c r="P722" s="271"/>
      <c r="Q722" s="271"/>
      <c r="R722" s="271"/>
      <c r="S722" s="271"/>
      <c r="T722" s="271"/>
      <c r="U722" s="271"/>
      <c r="V722" s="271"/>
      <c r="W722" s="271"/>
      <c r="X722" s="271"/>
      <c r="Y722" s="271"/>
      <c r="Z722" s="271"/>
    </row>
    <row r="723">
      <c r="A723" s="271"/>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row>
    <row r="724">
      <c r="A724" s="271"/>
      <c r="B724" s="271"/>
      <c r="C724" s="271"/>
      <c r="D724" s="271"/>
      <c r="E724" s="271"/>
      <c r="F724" s="271"/>
      <c r="G724" s="271"/>
      <c r="H724" s="271"/>
      <c r="I724" s="271"/>
      <c r="J724" s="271"/>
      <c r="K724" s="271"/>
      <c r="L724" s="271"/>
      <c r="M724" s="271"/>
      <c r="N724" s="271"/>
      <c r="O724" s="271"/>
      <c r="P724" s="271"/>
      <c r="Q724" s="271"/>
      <c r="R724" s="271"/>
      <c r="S724" s="271"/>
      <c r="T724" s="271"/>
      <c r="U724" s="271"/>
      <c r="V724" s="271"/>
      <c r="W724" s="271"/>
      <c r="X724" s="271"/>
      <c r="Y724" s="271"/>
      <c r="Z724" s="271"/>
    </row>
    <row r="725">
      <c r="A725" s="271"/>
      <c r="B725" s="271"/>
      <c r="C725" s="271"/>
      <c r="D725" s="271"/>
      <c r="E725" s="271"/>
      <c r="F725" s="271"/>
      <c r="G725" s="271"/>
      <c r="H725" s="271"/>
      <c r="I725" s="271"/>
      <c r="J725" s="271"/>
      <c r="K725" s="271"/>
      <c r="L725" s="271"/>
      <c r="M725" s="271"/>
      <c r="N725" s="271"/>
      <c r="O725" s="271"/>
      <c r="P725" s="271"/>
      <c r="Q725" s="271"/>
      <c r="R725" s="271"/>
      <c r="S725" s="271"/>
      <c r="T725" s="271"/>
      <c r="U725" s="271"/>
      <c r="V725" s="271"/>
      <c r="W725" s="271"/>
      <c r="X725" s="271"/>
      <c r="Y725" s="271"/>
      <c r="Z725" s="271"/>
    </row>
    <row r="726">
      <c r="A726" s="271"/>
      <c r="B726" s="271"/>
      <c r="C726" s="271"/>
      <c r="D726" s="271"/>
      <c r="E726" s="271"/>
      <c r="F726" s="271"/>
      <c r="G726" s="271"/>
      <c r="H726" s="271"/>
      <c r="I726" s="271"/>
      <c r="J726" s="271"/>
      <c r="K726" s="271"/>
      <c r="L726" s="271"/>
      <c r="M726" s="271"/>
      <c r="N726" s="271"/>
      <c r="O726" s="271"/>
      <c r="P726" s="271"/>
      <c r="Q726" s="271"/>
      <c r="R726" s="271"/>
      <c r="S726" s="271"/>
      <c r="T726" s="271"/>
      <c r="U726" s="271"/>
      <c r="V726" s="271"/>
      <c r="W726" s="271"/>
      <c r="X726" s="271"/>
      <c r="Y726" s="271"/>
      <c r="Z726" s="271"/>
    </row>
    <row r="727">
      <c r="A727" s="271"/>
      <c r="B727" s="271"/>
      <c r="C727" s="271"/>
      <c r="D727" s="271"/>
      <c r="E727" s="271"/>
      <c r="F727" s="271"/>
      <c r="G727" s="271"/>
      <c r="H727" s="271"/>
      <c r="I727" s="271"/>
      <c r="J727" s="271"/>
      <c r="K727" s="271"/>
      <c r="L727" s="271"/>
      <c r="M727" s="271"/>
      <c r="N727" s="271"/>
      <c r="O727" s="271"/>
      <c r="P727" s="271"/>
      <c r="Q727" s="271"/>
      <c r="R727" s="271"/>
      <c r="S727" s="271"/>
      <c r="T727" s="271"/>
      <c r="U727" s="271"/>
      <c r="V727" s="271"/>
      <c r="W727" s="271"/>
      <c r="X727" s="271"/>
      <c r="Y727" s="271"/>
      <c r="Z727" s="271"/>
    </row>
    <row r="728">
      <c r="A728" s="271"/>
      <c r="B728" s="271"/>
      <c r="C728" s="271"/>
      <c r="D728" s="271"/>
      <c r="E728" s="271"/>
      <c r="F728" s="271"/>
      <c r="G728" s="271"/>
      <c r="H728" s="271"/>
      <c r="I728" s="271"/>
      <c r="J728" s="271"/>
      <c r="K728" s="271"/>
      <c r="L728" s="271"/>
      <c r="M728" s="271"/>
      <c r="N728" s="271"/>
      <c r="O728" s="271"/>
      <c r="P728" s="271"/>
      <c r="Q728" s="271"/>
      <c r="R728" s="271"/>
      <c r="S728" s="271"/>
      <c r="T728" s="271"/>
      <c r="U728" s="271"/>
      <c r="V728" s="271"/>
      <c r="W728" s="271"/>
      <c r="X728" s="271"/>
      <c r="Y728" s="271"/>
      <c r="Z728" s="271"/>
    </row>
    <row r="729">
      <c r="A729" s="271"/>
      <c r="B729" s="271"/>
      <c r="C729" s="271"/>
      <c r="D729" s="271"/>
      <c r="E729" s="271"/>
      <c r="F729" s="271"/>
      <c r="G729" s="271"/>
      <c r="H729" s="271"/>
      <c r="I729" s="271"/>
      <c r="J729" s="271"/>
      <c r="K729" s="271"/>
      <c r="L729" s="271"/>
      <c r="M729" s="271"/>
      <c r="N729" s="271"/>
      <c r="O729" s="271"/>
      <c r="P729" s="271"/>
      <c r="Q729" s="271"/>
      <c r="R729" s="271"/>
      <c r="S729" s="271"/>
      <c r="T729" s="271"/>
      <c r="U729" s="271"/>
      <c r="V729" s="271"/>
      <c r="W729" s="271"/>
      <c r="X729" s="271"/>
      <c r="Y729" s="271"/>
      <c r="Z729" s="271"/>
    </row>
    <row r="730">
      <c r="A730" s="271"/>
      <c r="B730" s="271"/>
      <c r="C730" s="271"/>
      <c r="D730" s="271"/>
      <c r="E730" s="271"/>
      <c r="F730" s="271"/>
      <c r="G730" s="271"/>
      <c r="H730" s="271"/>
      <c r="I730" s="271"/>
      <c r="J730" s="271"/>
      <c r="K730" s="271"/>
      <c r="L730" s="271"/>
      <c r="M730" s="271"/>
      <c r="N730" s="271"/>
      <c r="O730" s="271"/>
      <c r="P730" s="271"/>
      <c r="Q730" s="271"/>
      <c r="R730" s="271"/>
      <c r="S730" s="271"/>
      <c r="T730" s="271"/>
      <c r="U730" s="271"/>
      <c r="V730" s="271"/>
      <c r="W730" s="271"/>
      <c r="X730" s="271"/>
      <c r="Y730" s="271"/>
      <c r="Z730" s="271"/>
    </row>
    <row r="731">
      <c r="A731" s="271"/>
      <c r="B731" s="271"/>
      <c r="C731" s="271"/>
      <c r="D731" s="271"/>
      <c r="E731" s="271"/>
      <c r="F731" s="271"/>
      <c r="G731" s="271"/>
      <c r="H731" s="271"/>
      <c r="I731" s="271"/>
      <c r="J731" s="271"/>
      <c r="K731" s="271"/>
      <c r="L731" s="271"/>
      <c r="M731" s="271"/>
      <c r="N731" s="271"/>
      <c r="O731" s="271"/>
      <c r="P731" s="271"/>
      <c r="Q731" s="271"/>
      <c r="R731" s="271"/>
      <c r="S731" s="271"/>
      <c r="T731" s="271"/>
      <c r="U731" s="271"/>
      <c r="V731" s="271"/>
      <c r="W731" s="271"/>
      <c r="X731" s="271"/>
      <c r="Y731" s="271"/>
      <c r="Z731" s="271"/>
    </row>
    <row r="732">
      <c r="A732" s="271"/>
      <c r="B732" s="271"/>
      <c r="C732" s="271"/>
      <c r="D732" s="271"/>
      <c r="E732" s="271"/>
      <c r="F732" s="271"/>
      <c r="G732" s="271"/>
      <c r="H732" s="271"/>
      <c r="I732" s="271"/>
      <c r="J732" s="271"/>
      <c r="K732" s="271"/>
      <c r="L732" s="271"/>
      <c r="M732" s="271"/>
      <c r="N732" s="271"/>
      <c r="O732" s="271"/>
      <c r="P732" s="271"/>
      <c r="Q732" s="271"/>
      <c r="R732" s="271"/>
      <c r="S732" s="271"/>
      <c r="T732" s="271"/>
      <c r="U732" s="271"/>
      <c r="V732" s="271"/>
      <c r="W732" s="271"/>
      <c r="X732" s="271"/>
      <c r="Y732" s="271"/>
      <c r="Z732" s="271"/>
    </row>
    <row r="733">
      <c r="A733" s="271"/>
      <c r="B733" s="271"/>
      <c r="C733" s="271"/>
      <c r="D733" s="271"/>
      <c r="E733" s="271"/>
      <c r="F733" s="271"/>
      <c r="G733" s="271"/>
      <c r="H733" s="271"/>
      <c r="I733" s="271"/>
      <c r="J733" s="271"/>
      <c r="K733" s="271"/>
      <c r="L733" s="271"/>
      <c r="M733" s="271"/>
      <c r="N733" s="271"/>
      <c r="O733" s="271"/>
      <c r="P733" s="271"/>
      <c r="Q733" s="271"/>
      <c r="R733" s="271"/>
      <c r="S733" s="271"/>
      <c r="T733" s="271"/>
      <c r="U733" s="271"/>
      <c r="V733" s="271"/>
      <c r="W733" s="271"/>
      <c r="X733" s="271"/>
      <c r="Y733" s="271"/>
      <c r="Z733" s="271"/>
    </row>
    <row r="734">
      <c r="A734" s="271"/>
      <c r="B734" s="271"/>
      <c r="C734" s="271"/>
      <c r="D734" s="271"/>
      <c r="E734" s="271"/>
      <c r="F734" s="271"/>
      <c r="G734" s="271"/>
      <c r="H734" s="271"/>
      <c r="I734" s="271"/>
      <c r="J734" s="271"/>
      <c r="K734" s="271"/>
      <c r="L734" s="271"/>
      <c r="M734" s="271"/>
      <c r="N734" s="271"/>
      <c r="O734" s="271"/>
      <c r="P734" s="271"/>
      <c r="Q734" s="271"/>
      <c r="R734" s="271"/>
      <c r="S734" s="271"/>
      <c r="T734" s="271"/>
      <c r="U734" s="271"/>
      <c r="V734" s="271"/>
      <c r="W734" s="271"/>
      <c r="X734" s="271"/>
      <c r="Y734" s="271"/>
      <c r="Z734" s="271"/>
    </row>
    <row r="735">
      <c r="A735" s="271"/>
      <c r="B735" s="271"/>
      <c r="C735" s="271"/>
      <c r="D735" s="271"/>
      <c r="E735" s="271"/>
      <c r="F735" s="271"/>
      <c r="G735" s="271"/>
      <c r="H735" s="271"/>
      <c r="I735" s="271"/>
      <c r="J735" s="271"/>
      <c r="K735" s="271"/>
      <c r="L735" s="271"/>
      <c r="M735" s="271"/>
      <c r="N735" s="271"/>
      <c r="O735" s="271"/>
      <c r="P735" s="271"/>
      <c r="Q735" s="271"/>
      <c r="R735" s="271"/>
      <c r="S735" s="271"/>
      <c r="T735" s="271"/>
      <c r="U735" s="271"/>
      <c r="V735" s="271"/>
      <c r="W735" s="271"/>
      <c r="X735" s="271"/>
      <c r="Y735" s="271"/>
      <c r="Z735" s="271"/>
    </row>
    <row r="736">
      <c r="A736" s="271"/>
      <c r="B736" s="271"/>
      <c r="C736" s="271"/>
      <c r="D736" s="271"/>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row>
    <row r="737">
      <c r="A737" s="271"/>
      <c r="B737" s="271"/>
      <c r="C737" s="271"/>
      <c r="D737" s="271"/>
      <c r="E737" s="271"/>
      <c r="F737" s="271"/>
      <c r="G737" s="271"/>
      <c r="H737" s="271"/>
      <c r="I737" s="271"/>
      <c r="J737" s="271"/>
      <c r="K737" s="271"/>
      <c r="L737" s="271"/>
      <c r="M737" s="271"/>
      <c r="N737" s="271"/>
      <c r="O737" s="271"/>
      <c r="P737" s="271"/>
      <c r="Q737" s="271"/>
      <c r="R737" s="271"/>
      <c r="S737" s="271"/>
      <c r="T737" s="271"/>
      <c r="U737" s="271"/>
      <c r="V737" s="271"/>
      <c r="W737" s="271"/>
      <c r="X737" s="271"/>
      <c r="Y737" s="271"/>
      <c r="Z737" s="271"/>
    </row>
    <row r="738">
      <c r="A738" s="271"/>
      <c r="B738" s="271"/>
      <c r="C738" s="271"/>
      <c r="D738" s="271"/>
      <c r="E738" s="271"/>
      <c r="F738" s="271"/>
      <c r="G738" s="271"/>
      <c r="H738" s="271"/>
      <c r="I738" s="271"/>
      <c r="J738" s="271"/>
      <c r="K738" s="271"/>
      <c r="L738" s="271"/>
      <c r="M738" s="271"/>
      <c r="N738" s="271"/>
      <c r="O738" s="271"/>
      <c r="P738" s="271"/>
      <c r="Q738" s="271"/>
      <c r="R738" s="271"/>
      <c r="S738" s="271"/>
      <c r="T738" s="271"/>
      <c r="U738" s="271"/>
      <c r="V738" s="271"/>
      <c r="W738" s="271"/>
      <c r="X738" s="271"/>
      <c r="Y738" s="271"/>
      <c r="Z738" s="271"/>
    </row>
    <row r="739">
      <c r="A739" s="271"/>
      <c r="B739" s="271"/>
      <c r="C739" s="271"/>
      <c r="D739" s="271"/>
      <c r="E739" s="271"/>
      <c r="F739" s="271"/>
      <c r="G739" s="271"/>
      <c r="H739" s="271"/>
      <c r="I739" s="271"/>
      <c r="J739" s="271"/>
      <c r="K739" s="271"/>
      <c r="L739" s="271"/>
      <c r="M739" s="271"/>
      <c r="N739" s="271"/>
      <c r="O739" s="271"/>
      <c r="P739" s="271"/>
      <c r="Q739" s="271"/>
      <c r="R739" s="271"/>
      <c r="S739" s="271"/>
      <c r="T739" s="271"/>
      <c r="U739" s="271"/>
      <c r="V739" s="271"/>
      <c r="W739" s="271"/>
      <c r="X739" s="271"/>
      <c r="Y739" s="271"/>
      <c r="Z739" s="271"/>
    </row>
    <row r="740">
      <c r="A740" s="271"/>
      <c r="B740" s="271"/>
      <c r="C740" s="271"/>
      <c r="D740" s="271"/>
      <c r="E740" s="271"/>
      <c r="F740" s="271"/>
      <c r="G740" s="271"/>
      <c r="H740" s="271"/>
      <c r="I740" s="271"/>
      <c r="J740" s="271"/>
      <c r="K740" s="271"/>
      <c r="L740" s="271"/>
      <c r="M740" s="271"/>
      <c r="N740" s="271"/>
      <c r="O740" s="271"/>
      <c r="P740" s="271"/>
      <c r="Q740" s="271"/>
      <c r="R740" s="271"/>
      <c r="S740" s="271"/>
      <c r="T740" s="271"/>
      <c r="U740" s="271"/>
      <c r="V740" s="271"/>
      <c r="W740" s="271"/>
      <c r="X740" s="271"/>
      <c r="Y740" s="271"/>
      <c r="Z740" s="271"/>
    </row>
    <row r="741">
      <c r="A741" s="271"/>
      <c r="B741" s="271"/>
      <c r="C741" s="271"/>
      <c r="D741" s="271"/>
      <c r="E741" s="271"/>
      <c r="F741" s="271"/>
      <c r="G741" s="271"/>
      <c r="H741" s="271"/>
      <c r="I741" s="271"/>
      <c r="J741" s="271"/>
      <c r="K741" s="271"/>
      <c r="L741" s="271"/>
      <c r="M741" s="271"/>
      <c r="N741" s="271"/>
      <c r="O741" s="271"/>
      <c r="P741" s="271"/>
      <c r="Q741" s="271"/>
      <c r="R741" s="271"/>
      <c r="S741" s="271"/>
      <c r="T741" s="271"/>
      <c r="U741" s="271"/>
      <c r="V741" s="271"/>
      <c r="W741" s="271"/>
      <c r="X741" s="271"/>
      <c r="Y741" s="271"/>
      <c r="Z741" s="271"/>
    </row>
    <row r="742">
      <c r="A742" s="271"/>
      <c r="B742" s="271"/>
      <c r="C742" s="271"/>
      <c r="D742" s="271"/>
      <c r="E742" s="271"/>
      <c r="F742" s="271"/>
      <c r="G742" s="271"/>
      <c r="H742" s="271"/>
      <c r="I742" s="271"/>
      <c r="J742" s="271"/>
      <c r="K742" s="271"/>
      <c r="L742" s="271"/>
      <c r="M742" s="271"/>
      <c r="N742" s="271"/>
      <c r="O742" s="271"/>
      <c r="P742" s="271"/>
      <c r="Q742" s="271"/>
      <c r="R742" s="271"/>
      <c r="S742" s="271"/>
      <c r="T742" s="271"/>
      <c r="U742" s="271"/>
      <c r="V742" s="271"/>
      <c r="W742" s="271"/>
      <c r="X742" s="271"/>
      <c r="Y742" s="271"/>
      <c r="Z742" s="271"/>
    </row>
    <row r="743">
      <c r="A743" s="271"/>
      <c r="B743" s="271"/>
      <c r="C743" s="271"/>
      <c r="D743" s="271"/>
      <c r="E743" s="271"/>
      <c r="F743" s="271"/>
      <c r="G743" s="271"/>
      <c r="H743" s="271"/>
      <c r="I743" s="271"/>
      <c r="J743" s="271"/>
      <c r="K743" s="271"/>
      <c r="L743" s="271"/>
      <c r="M743" s="271"/>
      <c r="N743" s="271"/>
      <c r="O743" s="271"/>
      <c r="P743" s="271"/>
      <c r="Q743" s="271"/>
      <c r="R743" s="271"/>
      <c r="S743" s="271"/>
      <c r="T743" s="271"/>
      <c r="U743" s="271"/>
      <c r="V743" s="271"/>
      <c r="W743" s="271"/>
      <c r="X743" s="271"/>
      <c r="Y743" s="271"/>
      <c r="Z743" s="271"/>
    </row>
    <row r="744">
      <c r="A744" s="271"/>
      <c r="B744" s="271"/>
      <c r="C744" s="271"/>
      <c r="D744" s="271"/>
      <c r="E744" s="271"/>
      <c r="F744" s="271"/>
      <c r="G744" s="271"/>
      <c r="H744" s="271"/>
      <c r="I744" s="271"/>
      <c r="J744" s="271"/>
      <c r="K744" s="271"/>
      <c r="L744" s="271"/>
      <c r="M744" s="271"/>
      <c r="N744" s="271"/>
      <c r="O744" s="271"/>
      <c r="P744" s="271"/>
      <c r="Q744" s="271"/>
      <c r="R744" s="271"/>
      <c r="S744" s="271"/>
      <c r="T744" s="271"/>
      <c r="U744" s="271"/>
      <c r="V744" s="271"/>
      <c r="W744" s="271"/>
      <c r="X744" s="271"/>
      <c r="Y744" s="271"/>
      <c r="Z744" s="271"/>
    </row>
    <row r="745">
      <c r="A745" s="271"/>
      <c r="B745" s="271"/>
      <c r="C745" s="271"/>
      <c r="D745" s="271"/>
      <c r="E745" s="271"/>
      <c r="F745" s="271"/>
      <c r="G745" s="271"/>
      <c r="H745" s="271"/>
      <c r="I745" s="271"/>
      <c r="J745" s="271"/>
      <c r="K745" s="271"/>
      <c r="L745" s="271"/>
      <c r="M745" s="271"/>
      <c r="N745" s="271"/>
      <c r="O745" s="271"/>
      <c r="P745" s="271"/>
      <c r="Q745" s="271"/>
      <c r="R745" s="271"/>
      <c r="S745" s="271"/>
      <c r="T745" s="271"/>
      <c r="U745" s="271"/>
      <c r="V745" s="271"/>
      <c r="W745" s="271"/>
      <c r="X745" s="271"/>
      <c r="Y745" s="271"/>
      <c r="Z745" s="271"/>
    </row>
    <row r="746">
      <c r="A746" s="271"/>
      <c r="B746" s="271"/>
      <c r="C746" s="271"/>
      <c r="D746" s="271"/>
      <c r="E746" s="271"/>
      <c r="F746" s="271"/>
      <c r="G746" s="271"/>
      <c r="H746" s="271"/>
      <c r="I746" s="271"/>
      <c r="J746" s="271"/>
      <c r="K746" s="271"/>
      <c r="L746" s="271"/>
      <c r="M746" s="271"/>
      <c r="N746" s="271"/>
      <c r="O746" s="271"/>
      <c r="P746" s="271"/>
      <c r="Q746" s="271"/>
      <c r="R746" s="271"/>
      <c r="S746" s="271"/>
      <c r="T746" s="271"/>
      <c r="U746" s="271"/>
      <c r="V746" s="271"/>
      <c r="W746" s="271"/>
      <c r="X746" s="271"/>
      <c r="Y746" s="271"/>
      <c r="Z746" s="271"/>
    </row>
    <row r="747">
      <c r="A747" s="271"/>
      <c r="B747" s="271"/>
      <c r="C747" s="271"/>
      <c r="D747" s="271"/>
      <c r="E747" s="271"/>
      <c r="F747" s="271"/>
      <c r="G747" s="271"/>
      <c r="H747" s="271"/>
      <c r="I747" s="271"/>
      <c r="J747" s="271"/>
      <c r="K747" s="271"/>
      <c r="L747" s="271"/>
      <c r="M747" s="271"/>
      <c r="N747" s="271"/>
      <c r="O747" s="271"/>
      <c r="P747" s="271"/>
      <c r="Q747" s="271"/>
      <c r="R747" s="271"/>
      <c r="S747" s="271"/>
      <c r="T747" s="271"/>
      <c r="U747" s="271"/>
      <c r="V747" s="271"/>
      <c r="W747" s="271"/>
      <c r="X747" s="271"/>
      <c r="Y747" s="271"/>
      <c r="Z747" s="271"/>
    </row>
    <row r="748">
      <c r="A748" s="271"/>
      <c r="B748" s="271"/>
      <c r="C748" s="271"/>
      <c r="D748" s="271"/>
      <c r="E748" s="271"/>
      <c r="F748" s="271"/>
      <c r="G748" s="271"/>
      <c r="H748" s="271"/>
      <c r="I748" s="271"/>
      <c r="J748" s="271"/>
      <c r="K748" s="271"/>
      <c r="L748" s="271"/>
      <c r="M748" s="271"/>
      <c r="N748" s="271"/>
      <c r="O748" s="271"/>
      <c r="P748" s="271"/>
      <c r="Q748" s="271"/>
      <c r="R748" s="271"/>
      <c r="S748" s="271"/>
      <c r="T748" s="271"/>
      <c r="U748" s="271"/>
      <c r="V748" s="271"/>
      <c r="W748" s="271"/>
      <c r="X748" s="271"/>
      <c r="Y748" s="271"/>
      <c r="Z748" s="271"/>
    </row>
    <row r="749">
      <c r="A749" s="271"/>
      <c r="B749" s="271"/>
      <c r="C749" s="271"/>
      <c r="D749" s="271"/>
      <c r="E749" s="271"/>
      <c r="F749" s="271"/>
      <c r="G749" s="271"/>
      <c r="H749" s="271"/>
      <c r="I749" s="271"/>
      <c r="J749" s="271"/>
      <c r="K749" s="271"/>
      <c r="L749" s="271"/>
      <c r="M749" s="271"/>
      <c r="N749" s="271"/>
      <c r="O749" s="271"/>
      <c r="P749" s="271"/>
      <c r="Q749" s="271"/>
      <c r="R749" s="271"/>
      <c r="S749" s="271"/>
      <c r="T749" s="271"/>
      <c r="U749" s="271"/>
      <c r="V749" s="271"/>
      <c r="W749" s="271"/>
      <c r="X749" s="271"/>
      <c r="Y749" s="271"/>
      <c r="Z749" s="271"/>
    </row>
    <row r="750">
      <c r="A750" s="271"/>
      <c r="B750" s="271"/>
      <c r="C750" s="271"/>
      <c r="D750" s="271"/>
      <c r="E750" s="271"/>
      <c r="F750" s="271"/>
      <c r="G750" s="271"/>
      <c r="H750" s="271"/>
      <c r="I750" s="271"/>
      <c r="J750" s="271"/>
      <c r="K750" s="271"/>
      <c r="L750" s="271"/>
      <c r="M750" s="271"/>
      <c r="N750" s="271"/>
      <c r="O750" s="271"/>
      <c r="P750" s="271"/>
      <c r="Q750" s="271"/>
      <c r="R750" s="271"/>
      <c r="S750" s="271"/>
      <c r="T750" s="271"/>
      <c r="U750" s="271"/>
      <c r="V750" s="271"/>
      <c r="W750" s="271"/>
      <c r="X750" s="271"/>
      <c r="Y750" s="271"/>
      <c r="Z750" s="271"/>
    </row>
    <row r="751">
      <c r="A751" s="271"/>
      <c r="B751" s="271"/>
      <c r="C751" s="271"/>
      <c r="D751" s="271"/>
      <c r="E751" s="271"/>
      <c r="F751" s="271"/>
      <c r="G751" s="271"/>
      <c r="H751" s="271"/>
      <c r="I751" s="271"/>
      <c r="J751" s="271"/>
      <c r="K751" s="271"/>
      <c r="L751" s="271"/>
      <c r="M751" s="271"/>
      <c r="N751" s="271"/>
      <c r="O751" s="271"/>
      <c r="P751" s="271"/>
      <c r="Q751" s="271"/>
      <c r="R751" s="271"/>
      <c r="S751" s="271"/>
      <c r="T751" s="271"/>
      <c r="U751" s="271"/>
      <c r="V751" s="271"/>
      <c r="W751" s="271"/>
      <c r="X751" s="271"/>
      <c r="Y751" s="271"/>
      <c r="Z751" s="271"/>
    </row>
    <row r="752">
      <c r="A752" s="271"/>
      <c r="B752" s="271"/>
      <c r="C752" s="271"/>
      <c r="D752" s="271"/>
      <c r="E752" s="271"/>
      <c r="F752" s="271"/>
      <c r="G752" s="271"/>
      <c r="H752" s="271"/>
      <c r="I752" s="271"/>
      <c r="J752" s="271"/>
      <c r="K752" s="271"/>
      <c r="L752" s="271"/>
      <c r="M752" s="271"/>
      <c r="N752" s="271"/>
      <c r="O752" s="271"/>
      <c r="P752" s="271"/>
      <c r="Q752" s="271"/>
      <c r="R752" s="271"/>
      <c r="S752" s="271"/>
      <c r="T752" s="271"/>
      <c r="U752" s="271"/>
      <c r="V752" s="271"/>
      <c r="W752" s="271"/>
      <c r="X752" s="271"/>
      <c r="Y752" s="271"/>
      <c r="Z752" s="271"/>
    </row>
    <row r="753">
      <c r="A753" s="271"/>
      <c r="B753" s="271"/>
      <c r="C753" s="271"/>
      <c r="D753" s="271"/>
      <c r="E753" s="271"/>
      <c r="F753" s="271"/>
      <c r="G753" s="271"/>
      <c r="H753" s="271"/>
      <c r="I753" s="271"/>
      <c r="J753" s="271"/>
      <c r="K753" s="271"/>
      <c r="L753" s="271"/>
      <c r="M753" s="271"/>
      <c r="N753" s="271"/>
      <c r="O753" s="271"/>
      <c r="P753" s="271"/>
      <c r="Q753" s="271"/>
      <c r="R753" s="271"/>
      <c r="S753" s="271"/>
      <c r="T753" s="271"/>
      <c r="U753" s="271"/>
      <c r="V753" s="271"/>
      <c r="W753" s="271"/>
      <c r="X753" s="271"/>
      <c r="Y753" s="271"/>
      <c r="Z753" s="271"/>
    </row>
    <row r="754">
      <c r="A754" s="271"/>
      <c r="B754" s="271"/>
      <c r="C754" s="271"/>
      <c r="D754" s="271"/>
      <c r="E754" s="271"/>
      <c r="F754" s="271"/>
      <c r="G754" s="271"/>
      <c r="H754" s="271"/>
      <c r="I754" s="271"/>
      <c r="J754" s="271"/>
      <c r="K754" s="271"/>
      <c r="L754" s="271"/>
      <c r="M754" s="271"/>
      <c r="N754" s="271"/>
      <c r="O754" s="271"/>
      <c r="P754" s="271"/>
      <c r="Q754" s="271"/>
      <c r="R754" s="271"/>
      <c r="S754" s="271"/>
      <c r="T754" s="271"/>
      <c r="U754" s="271"/>
      <c r="V754" s="271"/>
      <c r="W754" s="271"/>
      <c r="X754" s="271"/>
      <c r="Y754" s="271"/>
      <c r="Z754" s="271"/>
    </row>
    <row r="755">
      <c r="A755" s="271"/>
      <c r="B755" s="271"/>
      <c r="C755" s="271"/>
      <c r="D755" s="271"/>
      <c r="E755" s="271"/>
      <c r="F755" s="271"/>
      <c r="G755" s="271"/>
      <c r="H755" s="271"/>
      <c r="I755" s="271"/>
      <c r="J755" s="271"/>
      <c r="K755" s="271"/>
      <c r="L755" s="271"/>
      <c r="M755" s="271"/>
      <c r="N755" s="271"/>
      <c r="O755" s="271"/>
      <c r="P755" s="271"/>
      <c r="Q755" s="271"/>
      <c r="R755" s="271"/>
      <c r="S755" s="271"/>
      <c r="T755" s="271"/>
      <c r="U755" s="271"/>
      <c r="V755" s="271"/>
      <c r="W755" s="271"/>
      <c r="X755" s="271"/>
      <c r="Y755" s="271"/>
      <c r="Z755" s="271"/>
    </row>
    <row r="756">
      <c r="A756" s="271"/>
      <c r="B756" s="271"/>
      <c r="C756" s="271"/>
      <c r="D756" s="271"/>
      <c r="E756" s="271"/>
      <c r="F756" s="271"/>
      <c r="G756" s="271"/>
      <c r="H756" s="271"/>
      <c r="I756" s="271"/>
      <c r="J756" s="271"/>
      <c r="K756" s="271"/>
      <c r="L756" s="271"/>
      <c r="M756" s="271"/>
      <c r="N756" s="271"/>
      <c r="O756" s="271"/>
      <c r="P756" s="271"/>
      <c r="Q756" s="271"/>
      <c r="R756" s="271"/>
      <c r="S756" s="271"/>
      <c r="T756" s="271"/>
      <c r="U756" s="271"/>
      <c r="V756" s="271"/>
      <c r="W756" s="271"/>
      <c r="X756" s="271"/>
      <c r="Y756" s="271"/>
      <c r="Z756" s="271"/>
    </row>
    <row r="757">
      <c r="A757" s="271"/>
      <c r="B757" s="271"/>
      <c r="C757" s="271"/>
      <c r="D757" s="271"/>
      <c r="E757" s="271"/>
      <c r="F757" s="271"/>
      <c r="G757" s="271"/>
      <c r="H757" s="271"/>
      <c r="I757" s="271"/>
      <c r="J757" s="271"/>
      <c r="K757" s="271"/>
      <c r="L757" s="271"/>
      <c r="M757" s="271"/>
      <c r="N757" s="271"/>
      <c r="O757" s="271"/>
      <c r="P757" s="271"/>
      <c r="Q757" s="271"/>
      <c r="R757" s="271"/>
      <c r="S757" s="271"/>
      <c r="T757" s="271"/>
      <c r="U757" s="271"/>
      <c r="V757" s="271"/>
      <c r="W757" s="271"/>
      <c r="X757" s="271"/>
      <c r="Y757" s="271"/>
      <c r="Z757" s="271"/>
    </row>
    <row r="758">
      <c r="A758" s="271"/>
      <c r="B758" s="271"/>
      <c r="C758" s="271"/>
      <c r="D758" s="271"/>
      <c r="E758" s="271"/>
      <c r="F758" s="271"/>
      <c r="G758" s="271"/>
      <c r="H758" s="271"/>
      <c r="I758" s="271"/>
      <c r="J758" s="271"/>
      <c r="K758" s="271"/>
      <c r="L758" s="271"/>
      <c r="M758" s="271"/>
      <c r="N758" s="271"/>
      <c r="O758" s="271"/>
      <c r="P758" s="271"/>
      <c r="Q758" s="271"/>
      <c r="R758" s="271"/>
      <c r="S758" s="271"/>
      <c r="T758" s="271"/>
      <c r="U758" s="271"/>
      <c r="V758" s="271"/>
      <c r="W758" s="271"/>
      <c r="X758" s="271"/>
      <c r="Y758" s="271"/>
      <c r="Z758" s="271"/>
    </row>
    <row r="759">
      <c r="A759" s="271"/>
      <c r="B759" s="271"/>
      <c r="C759" s="271"/>
      <c r="D759" s="271"/>
      <c r="E759" s="271"/>
      <c r="F759" s="271"/>
      <c r="G759" s="271"/>
      <c r="H759" s="271"/>
      <c r="I759" s="271"/>
      <c r="J759" s="271"/>
      <c r="K759" s="271"/>
      <c r="L759" s="271"/>
      <c r="M759" s="271"/>
      <c r="N759" s="271"/>
      <c r="O759" s="271"/>
      <c r="P759" s="271"/>
      <c r="Q759" s="271"/>
      <c r="R759" s="271"/>
      <c r="S759" s="271"/>
      <c r="T759" s="271"/>
      <c r="U759" s="271"/>
      <c r="V759" s="271"/>
      <c r="W759" s="271"/>
      <c r="X759" s="271"/>
      <c r="Y759" s="271"/>
      <c r="Z759" s="271"/>
    </row>
    <row r="760">
      <c r="A760" s="271"/>
      <c r="B760" s="271"/>
      <c r="C760" s="271"/>
      <c r="D760" s="271"/>
      <c r="E760" s="271"/>
      <c r="F760" s="271"/>
      <c r="G760" s="271"/>
      <c r="H760" s="271"/>
      <c r="I760" s="271"/>
      <c r="J760" s="271"/>
      <c r="K760" s="271"/>
      <c r="L760" s="271"/>
      <c r="M760" s="271"/>
      <c r="N760" s="271"/>
      <c r="O760" s="271"/>
      <c r="P760" s="271"/>
      <c r="Q760" s="271"/>
      <c r="R760" s="271"/>
      <c r="S760" s="271"/>
      <c r="T760" s="271"/>
      <c r="U760" s="271"/>
      <c r="V760" s="271"/>
      <c r="W760" s="271"/>
      <c r="X760" s="271"/>
      <c r="Y760" s="271"/>
      <c r="Z760" s="271"/>
    </row>
    <row r="761">
      <c r="A761" s="271"/>
      <c r="B761" s="271"/>
      <c r="C761" s="271"/>
      <c r="D761" s="271"/>
      <c r="E761" s="271"/>
      <c r="F761" s="271"/>
      <c r="G761" s="271"/>
      <c r="H761" s="271"/>
      <c r="I761" s="271"/>
      <c r="J761" s="271"/>
      <c r="K761" s="271"/>
      <c r="L761" s="271"/>
      <c r="M761" s="271"/>
      <c r="N761" s="271"/>
      <c r="O761" s="271"/>
      <c r="P761" s="271"/>
      <c r="Q761" s="271"/>
      <c r="R761" s="271"/>
      <c r="S761" s="271"/>
      <c r="T761" s="271"/>
      <c r="U761" s="271"/>
      <c r="V761" s="271"/>
      <c r="W761" s="271"/>
      <c r="X761" s="271"/>
      <c r="Y761" s="271"/>
      <c r="Z761" s="271"/>
    </row>
    <row r="762">
      <c r="A762" s="271"/>
      <c r="B762" s="271"/>
      <c r="C762" s="271"/>
      <c r="D762" s="271"/>
      <c r="E762" s="271"/>
      <c r="F762" s="271"/>
      <c r="G762" s="271"/>
      <c r="H762" s="271"/>
      <c r="I762" s="271"/>
      <c r="J762" s="271"/>
      <c r="K762" s="271"/>
      <c r="L762" s="271"/>
      <c r="M762" s="271"/>
      <c r="N762" s="271"/>
      <c r="O762" s="271"/>
      <c r="P762" s="271"/>
      <c r="Q762" s="271"/>
      <c r="R762" s="271"/>
      <c r="S762" s="271"/>
      <c r="T762" s="271"/>
      <c r="U762" s="271"/>
      <c r="V762" s="271"/>
      <c r="W762" s="271"/>
      <c r="X762" s="271"/>
      <c r="Y762" s="271"/>
      <c r="Z762" s="271"/>
    </row>
    <row r="763">
      <c r="A763" s="271"/>
      <c r="B763" s="271"/>
      <c r="C763" s="271"/>
      <c r="D763" s="271"/>
      <c r="E763" s="271"/>
      <c r="F763" s="271"/>
      <c r="G763" s="271"/>
      <c r="H763" s="271"/>
      <c r="I763" s="271"/>
      <c r="J763" s="271"/>
      <c r="K763" s="271"/>
      <c r="L763" s="271"/>
      <c r="M763" s="271"/>
      <c r="N763" s="271"/>
      <c r="O763" s="271"/>
      <c r="P763" s="271"/>
      <c r="Q763" s="271"/>
      <c r="R763" s="271"/>
      <c r="S763" s="271"/>
      <c r="T763" s="271"/>
      <c r="U763" s="271"/>
      <c r="V763" s="271"/>
      <c r="W763" s="271"/>
      <c r="X763" s="271"/>
      <c r="Y763" s="271"/>
      <c r="Z763" s="271"/>
    </row>
    <row r="764">
      <c r="A764" s="271"/>
      <c r="B764" s="271"/>
      <c r="C764" s="271"/>
      <c r="D764" s="271"/>
      <c r="E764" s="271"/>
      <c r="F764" s="271"/>
      <c r="G764" s="271"/>
      <c r="H764" s="271"/>
      <c r="I764" s="271"/>
      <c r="J764" s="271"/>
      <c r="K764" s="271"/>
      <c r="L764" s="271"/>
      <c r="M764" s="271"/>
      <c r="N764" s="271"/>
      <c r="O764" s="271"/>
      <c r="P764" s="271"/>
      <c r="Q764" s="271"/>
      <c r="R764" s="271"/>
      <c r="S764" s="271"/>
      <c r="T764" s="271"/>
      <c r="U764" s="271"/>
      <c r="V764" s="271"/>
      <c r="W764" s="271"/>
      <c r="X764" s="271"/>
      <c r="Y764" s="271"/>
      <c r="Z764" s="271"/>
    </row>
    <row r="765">
      <c r="A765" s="271"/>
      <c r="B765" s="271"/>
      <c r="C765" s="271"/>
      <c r="D765" s="271"/>
      <c r="E765" s="271"/>
      <c r="F765" s="271"/>
      <c r="G765" s="271"/>
      <c r="H765" s="271"/>
      <c r="I765" s="271"/>
      <c r="J765" s="271"/>
      <c r="K765" s="271"/>
      <c r="L765" s="271"/>
      <c r="M765" s="271"/>
      <c r="N765" s="271"/>
      <c r="O765" s="271"/>
      <c r="P765" s="271"/>
      <c r="Q765" s="271"/>
      <c r="R765" s="271"/>
      <c r="S765" s="271"/>
      <c r="T765" s="271"/>
      <c r="U765" s="271"/>
      <c r="V765" s="271"/>
      <c r="W765" s="271"/>
      <c r="X765" s="271"/>
      <c r="Y765" s="271"/>
      <c r="Z765" s="271"/>
    </row>
    <row r="766">
      <c r="A766" s="271"/>
      <c r="B766" s="271"/>
      <c r="C766" s="271"/>
      <c r="D766" s="271"/>
      <c r="E766" s="271"/>
      <c r="F766" s="271"/>
      <c r="G766" s="271"/>
      <c r="H766" s="271"/>
      <c r="I766" s="271"/>
      <c r="J766" s="271"/>
      <c r="K766" s="271"/>
      <c r="L766" s="271"/>
      <c r="M766" s="271"/>
      <c r="N766" s="271"/>
      <c r="O766" s="271"/>
      <c r="P766" s="271"/>
      <c r="Q766" s="271"/>
      <c r="R766" s="271"/>
      <c r="S766" s="271"/>
      <c r="T766" s="271"/>
      <c r="U766" s="271"/>
      <c r="V766" s="271"/>
      <c r="W766" s="271"/>
      <c r="X766" s="271"/>
      <c r="Y766" s="271"/>
      <c r="Z766" s="271"/>
    </row>
    <row r="767">
      <c r="A767" s="271"/>
      <c r="B767" s="271"/>
      <c r="C767" s="271"/>
      <c r="D767" s="271"/>
      <c r="E767" s="271"/>
      <c r="F767" s="271"/>
      <c r="G767" s="271"/>
      <c r="H767" s="271"/>
      <c r="I767" s="271"/>
      <c r="J767" s="271"/>
      <c r="K767" s="271"/>
      <c r="L767" s="271"/>
      <c r="M767" s="271"/>
      <c r="N767" s="271"/>
      <c r="O767" s="271"/>
      <c r="P767" s="271"/>
      <c r="Q767" s="271"/>
      <c r="R767" s="271"/>
      <c r="S767" s="271"/>
      <c r="T767" s="271"/>
      <c r="U767" s="271"/>
      <c r="V767" s="271"/>
      <c r="W767" s="271"/>
      <c r="X767" s="271"/>
      <c r="Y767" s="271"/>
      <c r="Z767" s="271"/>
    </row>
    <row r="768">
      <c r="A768" s="271"/>
      <c r="B768" s="271"/>
      <c r="C768" s="271"/>
      <c r="D768" s="271"/>
      <c r="E768" s="271"/>
      <c r="F768" s="271"/>
      <c r="G768" s="271"/>
      <c r="H768" s="271"/>
      <c r="I768" s="271"/>
      <c r="J768" s="271"/>
      <c r="K768" s="271"/>
      <c r="L768" s="271"/>
      <c r="M768" s="271"/>
      <c r="N768" s="271"/>
      <c r="O768" s="271"/>
      <c r="P768" s="271"/>
      <c r="Q768" s="271"/>
      <c r="R768" s="271"/>
      <c r="S768" s="271"/>
      <c r="T768" s="271"/>
      <c r="U768" s="271"/>
      <c r="V768" s="271"/>
      <c r="W768" s="271"/>
      <c r="X768" s="271"/>
      <c r="Y768" s="271"/>
      <c r="Z768" s="271"/>
    </row>
    <row r="769">
      <c r="A769" s="271"/>
      <c r="B769" s="271"/>
      <c r="C769" s="271"/>
      <c r="D769" s="271"/>
      <c r="E769" s="271"/>
      <c r="F769" s="271"/>
      <c r="G769" s="271"/>
      <c r="H769" s="271"/>
      <c r="I769" s="271"/>
      <c r="J769" s="271"/>
      <c r="K769" s="271"/>
      <c r="L769" s="271"/>
      <c r="M769" s="271"/>
      <c r="N769" s="271"/>
      <c r="O769" s="271"/>
      <c r="P769" s="271"/>
      <c r="Q769" s="271"/>
      <c r="R769" s="271"/>
      <c r="S769" s="271"/>
      <c r="T769" s="271"/>
      <c r="U769" s="271"/>
      <c r="V769" s="271"/>
      <c r="W769" s="271"/>
      <c r="X769" s="271"/>
      <c r="Y769" s="271"/>
      <c r="Z769" s="271"/>
    </row>
    <row r="770">
      <c r="A770" s="271"/>
      <c r="B770" s="271"/>
      <c r="C770" s="271"/>
      <c r="D770" s="271"/>
      <c r="E770" s="271"/>
      <c r="F770" s="271"/>
      <c r="G770" s="271"/>
      <c r="H770" s="271"/>
      <c r="I770" s="271"/>
      <c r="J770" s="271"/>
      <c r="K770" s="271"/>
      <c r="L770" s="271"/>
      <c r="M770" s="271"/>
      <c r="N770" s="271"/>
      <c r="O770" s="271"/>
      <c r="P770" s="271"/>
      <c r="Q770" s="271"/>
      <c r="R770" s="271"/>
      <c r="S770" s="271"/>
      <c r="T770" s="271"/>
      <c r="U770" s="271"/>
      <c r="V770" s="271"/>
      <c r="W770" s="271"/>
      <c r="X770" s="271"/>
      <c r="Y770" s="271"/>
      <c r="Z770" s="271"/>
    </row>
    <row r="771">
      <c r="A771" s="271"/>
      <c r="B771" s="271"/>
      <c r="C771" s="271"/>
      <c r="D771" s="271"/>
      <c r="E771" s="271"/>
      <c r="F771" s="271"/>
      <c r="G771" s="271"/>
      <c r="H771" s="271"/>
      <c r="I771" s="271"/>
      <c r="J771" s="271"/>
      <c r="K771" s="271"/>
      <c r="L771" s="271"/>
      <c r="M771" s="271"/>
      <c r="N771" s="271"/>
      <c r="O771" s="271"/>
      <c r="P771" s="271"/>
      <c r="Q771" s="271"/>
      <c r="R771" s="271"/>
      <c r="S771" s="271"/>
      <c r="T771" s="271"/>
      <c r="U771" s="271"/>
      <c r="V771" s="271"/>
      <c r="W771" s="271"/>
      <c r="X771" s="271"/>
      <c r="Y771" s="271"/>
      <c r="Z771" s="271"/>
    </row>
    <row r="772">
      <c r="A772" s="271"/>
      <c r="B772" s="271"/>
      <c r="C772" s="271"/>
      <c r="D772" s="271"/>
      <c r="E772" s="271"/>
      <c r="F772" s="271"/>
      <c r="G772" s="271"/>
      <c r="H772" s="271"/>
      <c r="I772" s="271"/>
      <c r="J772" s="271"/>
      <c r="K772" s="271"/>
      <c r="L772" s="271"/>
      <c r="M772" s="271"/>
      <c r="N772" s="271"/>
      <c r="O772" s="271"/>
      <c r="P772" s="271"/>
      <c r="Q772" s="271"/>
      <c r="R772" s="271"/>
      <c r="S772" s="271"/>
      <c r="T772" s="271"/>
      <c r="U772" s="271"/>
      <c r="V772" s="271"/>
      <c r="W772" s="271"/>
      <c r="X772" s="271"/>
      <c r="Y772" s="271"/>
      <c r="Z772" s="271"/>
    </row>
    <row r="773">
      <c r="A773" s="271"/>
      <c r="B773" s="271"/>
      <c r="C773" s="271"/>
      <c r="D773" s="271"/>
      <c r="E773" s="271"/>
      <c r="F773" s="271"/>
      <c r="G773" s="271"/>
      <c r="H773" s="271"/>
      <c r="I773" s="271"/>
      <c r="J773" s="271"/>
      <c r="K773" s="271"/>
      <c r="L773" s="271"/>
      <c r="M773" s="271"/>
      <c r="N773" s="271"/>
      <c r="O773" s="271"/>
      <c r="P773" s="271"/>
      <c r="Q773" s="271"/>
      <c r="R773" s="271"/>
      <c r="S773" s="271"/>
      <c r="T773" s="271"/>
      <c r="U773" s="271"/>
      <c r="V773" s="271"/>
      <c r="W773" s="271"/>
      <c r="X773" s="271"/>
      <c r="Y773" s="271"/>
      <c r="Z773" s="271"/>
    </row>
    <row r="774">
      <c r="A774" s="271"/>
      <c r="B774" s="271"/>
      <c r="C774" s="271"/>
      <c r="D774" s="271"/>
      <c r="E774" s="271"/>
      <c r="F774" s="271"/>
      <c r="G774" s="271"/>
      <c r="H774" s="271"/>
      <c r="I774" s="271"/>
      <c r="J774" s="271"/>
      <c r="K774" s="271"/>
      <c r="L774" s="271"/>
      <c r="M774" s="271"/>
      <c r="N774" s="271"/>
      <c r="O774" s="271"/>
      <c r="P774" s="271"/>
      <c r="Q774" s="271"/>
      <c r="R774" s="271"/>
      <c r="S774" s="271"/>
      <c r="T774" s="271"/>
      <c r="U774" s="271"/>
      <c r="V774" s="271"/>
      <c r="W774" s="271"/>
      <c r="X774" s="271"/>
      <c r="Y774" s="271"/>
      <c r="Z774" s="271"/>
    </row>
    <row r="775">
      <c r="A775" s="271"/>
      <c r="B775" s="271"/>
      <c r="C775" s="271"/>
      <c r="D775" s="271"/>
      <c r="E775" s="271"/>
      <c r="F775" s="271"/>
      <c r="G775" s="271"/>
      <c r="H775" s="271"/>
      <c r="I775" s="271"/>
      <c r="J775" s="271"/>
      <c r="K775" s="271"/>
      <c r="L775" s="271"/>
      <c r="M775" s="271"/>
      <c r="N775" s="271"/>
      <c r="O775" s="271"/>
      <c r="P775" s="271"/>
      <c r="Q775" s="271"/>
      <c r="R775" s="271"/>
      <c r="S775" s="271"/>
      <c r="T775" s="271"/>
      <c r="U775" s="271"/>
      <c r="V775" s="271"/>
      <c r="W775" s="271"/>
      <c r="X775" s="271"/>
      <c r="Y775" s="271"/>
      <c r="Z775" s="271"/>
    </row>
    <row r="776">
      <c r="A776" s="271"/>
      <c r="B776" s="271"/>
      <c r="C776" s="271"/>
      <c r="D776" s="271"/>
      <c r="E776" s="271"/>
      <c r="F776" s="271"/>
      <c r="G776" s="271"/>
      <c r="H776" s="271"/>
      <c r="I776" s="271"/>
      <c r="J776" s="271"/>
      <c r="K776" s="271"/>
      <c r="L776" s="271"/>
      <c r="M776" s="271"/>
      <c r="N776" s="271"/>
      <c r="O776" s="271"/>
      <c r="P776" s="271"/>
      <c r="Q776" s="271"/>
      <c r="R776" s="271"/>
      <c r="S776" s="271"/>
      <c r="T776" s="271"/>
      <c r="U776" s="271"/>
      <c r="V776" s="271"/>
      <c r="W776" s="271"/>
      <c r="X776" s="271"/>
      <c r="Y776" s="271"/>
      <c r="Z776" s="271"/>
    </row>
    <row r="777">
      <c r="A777" s="271"/>
      <c r="B777" s="271"/>
      <c r="C777" s="271"/>
      <c r="D777" s="271"/>
      <c r="E777" s="271"/>
      <c r="F777" s="271"/>
      <c r="G777" s="271"/>
      <c r="H777" s="271"/>
      <c r="I777" s="271"/>
      <c r="J777" s="271"/>
      <c r="K777" s="271"/>
      <c r="L777" s="271"/>
      <c r="M777" s="271"/>
      <c r="N777" s="271"/>
      <c r="O777" s="271"/>
      <c r="P777" s="271"/>
      <c r="Q777" s="271"/>
      <c r="R777" s="271"/>
      <c r="S777" s="271"/>
      <c r="T777" s="271"/>
      <c r="U777" s="271"/>
      <c r="V777" s="271"/>
      <c r="W777" s="271"/>
      <c r="X777" s="271"/>
      <c r="Y777" s="271"/>
      <c r="Z777" s="271"/>
    </row>
    <row r="778">
      <c r="A778" s="271"/>
      <c r="B778" s="271"/>
      <c r="C778" s="271"/>
      <c r="D778" s="271"/>
      <c r="E778" s="271"/>
      <c r="F778" s="271"/>
      <c r="G778" s="271"/>
      <c r="H778" s="271"/>
      <c r="I778" s="271"/>
      <c r="J778" s="271"/>
      <c r="K778" s="271"/>
      <c r="L778" s="271"/>
      <c r="M778" s="271"/>
      <c r="N778" s="271"/>
      <c r="O778" s="271"/>
      <c r="P778" s="271"/>
      <c r="Q778" s="271"/>
      <c r="R778" s="271"/>
      <c r="S778" s="271"/>
      <c r="T778" s="271"/>
      <c r="U778" s="271"/>
      <c r="V778" s="271"/>
      <c r="W778" s="271"/>
      <c r="X778" s="271"/>
      <c r="Y778" s="271"/>
      <c r="Z778" s="271"/>
    </row>
    <row r="779">
      <c r="A779" s="271"/>
      <c r="B779" s="271"/>
      <c r="C779" s="271"/>
      <c r="D779" s="271"/>
      <c r="E779" s="271"/>
      <c r="F779" s="271"/>
      <c r="G779" s="271"/>
      <c r="H779" s="271"/>
      <c r="I779" s="271"/>
      <c r="J779" s="271"/>
      <c r="K779" s="271"/>
      <c r="L779" s="271"/>
      <c r="M779" s="271"/>
      <c r="N779" s="271"/>
      <c r="O779" s="271"/>
      <c r="P779" s="271"/>
      <c r="Q779" s="271"/>
      <c r="R779" s="271"/>
      <c r="S779" s="271"/>
      <c r="T779" s="271"/>
      <c r="U779" s="271"/>
      <c r="V779" s="271"/>
      <c r="W779" s="271"/>
      <c r="X779" s="271"/>
      <c r="Y779" s="271"/>
      <c r="Z779" s="271"/>
    </row>
    <row r="780">
      <c r="A780" s="271"/>
      <c r="B780" s="271"/>
      <c r="C780" s="271"/>
      <c r="D780" s="271"/>
      <c r="E780" s="271"/>
      <c r="F780" s="271"/>
      <c r="G780" s="271"/>
      <c r="H780" s="271"/>
      <c r="I780" s="271"/>
      <c r="J780" s="271"/>
      <c r="K780" s="271"/>
      <c r="L780" s="271"/>
      <c r="M780" s="271"/>
      <c r="N780" s="271"/>
      <c r="O780" s="271"/>
      <c r="P780" s="271"/>
      <c r="Q780" s="271"/>
      <c r="R780" s="271"/>
      <c r="S780" s="271"/>
      <c r="T780" s="271"/>
      <c r="U780" s="271"/>
      <c r="V780" s="271"/>
      <c r="W780" s="271"/>
      <c r="X780" s="271"/>
      <c r="Y780" s="271"/>
      <c r="Z780" s="271"/>
    </row>
    <row r="781">
      <c r="A781" s="271"/>
      <c r="B781" s="271"/>
      <c r="C781" s="271"/>
      <c r="D781" s="271"/>
      <c r="E781" s="271"/>
      <c r="F781" s="271"/>
      <c r="G781" s="271"/>
      <c r="H781" s="271"/>
      <c r="I781" s="271"/>
      <c r="J781" s="271"/>
      <c r="K781" s="271"/>
      <c r="L781" s="271"/>
      <c r="M781" s="271"/>
      <c r="N781" s="271"/>
      <c r="O781" s="271"/>
      <c r="P781" s="271"/>
      <c r="Q781" s="271"/>
      <c r="R781" s="271"/>
      <c r="S781" s="271"/>
      <c r="T781" s="271"/>
      <c r="U781" s="271"/>
      <c r="V781" s="271"/>
      <c r="W781" s="271"/>
      <c r="X781" s="271"/>
      <c r="Y781" s="271"/>
      <c r="Z781" s="271"/>
    </row>
    <row r="782">
      <c r="A782" s="271"/>
      <c r="B782" s="271"/>
      <c r="C782" s="271"/>
      <c r="D782" s="271"/>
      <c r="E782" s="271"/>
      <c r="F782" s="271"/>
      <c r="G782" s="271"/>
      <c r="H782" s="271"/>
      <c r="I782" s="271"/>
      <c r="J782" s="271"/>
      <c r="K782" s="271"/>
      <c r="L782" s="271"/>
      <c r="M782" s="271"/>
      <c r="N782" s="271"/>
      <c r="O782" s="271"/>
      <c r="P782" s="271"/>
      <c r="Q782" s="271"/>
      <c r="R782" s="271"/>
      <c r="S782" s="271"/>
      <c r="T782" s="271"/>
      <c r="U782" s="271"/>
      <c r="V782" s="271"/>
      <c r="W782" s="271"/>
      <c r="X782" s="271"/>
      <c r="Y782" s="271"/>
      <c r="Z782" s="271"/>
    </row>
    <row r="783">
      <c r="A783" s="271"/>
      <c r="B783" s="271"/>
      <c r="C783" s="271"/>
      <c r="D783" s="271"/>
      <c r="E783" s="271"/>
      <c r="F783" s="271"/>
      <c r="G783" s="271"/>
      <c r="H783" s="271"/>
      <c r="I783" s="271"/>
      <c r="J783" s="271"/>
      <c r="K783" s="271"/>
      <c r="L783" s="271"/>
      <c r="M783" s="271"/>
      <c r="N783" s="271"/>
      <c r="O783" s="271"/>
      <c r="P783" s="271"/>
      <c r="Q783" s="271"/>
      <c r="R783" s="271"/>
      <c r="S783" s="271"/>
      <c r="T783" s="271"/>
      <c r="U783" s="271"/>
      <c r="V783" s="271"/>
      <c r="W783" s="271"/>
      <c r="X783" s="271"/>
      <c r="Y783" s="271"/>
      <c r="Z783" s="271"/>
    </row>
    <row r="784">
      <c r="A784" s="271"/>
      <c r="B784" s="271"/>
      <c r="C784" s="271"/>
      <c r="D784" s="271"/>
      <c r="E784" s="271"/>
      <c r="F784" s="271"/>
      <c r="G784" s="271"/>
      <c r="H784" s="271"/>
      <c r="I784" s="271"/>
      <c r="J784" s="271"/>
      <c r="K784" s="271"/>
      <c r="L784" s="271"/>
      <c r="M784" s="271"/>
      <c r="N784" s="271"/>
      <c r="O784" s="271"/>
      <c r="P784" s="271"/>
      <c r="Q784" s="271"/>
      <c r="R784" s="271"/>
      <c r="S784" s="271"/>
      <c r="T784" s="271"/>
      <c r="U784" s="271"/>
      <c r="V784" s="271"/>
      <c r="W784" s="271"/>
      <c r="X784" s="271"/>
      <c r="Y784" s="271"/>
      <c r="Z784" s="271"/>
    </row>
    <row r="785">
      <c r="A785" s="271"/>
      <c r="B785" s="271"/>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1"/>
    </row>
    <row r="786">
      <c r="A786" s="271"/>
      <c r="B786" s="271"/>
      <c r="C786" s="271"/>
      <c r="D786" s="271"/>
      <c r="E786" s="271"/>
      <c r="F786" s="271"/>
      <c r="G786" s="271"/>
      <c r="H786" s="271"/>
      <c r="I786" s="271"/>
      <c r="J786" s="271"/>
      <c r="K786" s="271"/>
      <c r="L786" s="271"/>
      <c r="M786" s="271"/>
      <c r="N786" s="271"/>
      <c r="O786" s="271"/>
      <c r="P786" s="271"/>
      <c r="Q786" s="271"/>
      <c r="R786" s="271"/>
      <c r="S786" s="271"/>
      <c r="T786" s="271"/>
      <c r="U786" s="271"/>
      <c r="V786" s="271"/>
      <c r="W786" s="271"/>
      <c r="X786" s="271"/>
      <c r="Y786" s="271"/>
      <c r="Z786" s="271"/>
    </row>
    <row r="787">
      <c r="A787" s="271"/>
      <c r="B787" s="271"/>
      <c r="C787" s="271"/>
      <c r="D787" s="271"/>
      <c r="E787" s="271"/>
      <c r="F787" s="271"/>
      <c r="G787" s="271"/>
      <c r="H787" s="271"/>
      <c r="I787" s="271"/>
      <c r="J787" s="271"/>
      <c r="K787" s="271"/>
      <c r="L787" s="271"/>
      <c r="M787" s="271"/>
      <c r="N787" s="271"/>
      <c r="O787" s="271"/>
      <c r="P787" s="271"/>
      <c r="Q787" s="271"/>
      <c r="R787" s="271"/>
      <c r="S787" s="271"/>
      <c r="T787" s="271"/>
      <c r="U787" s="271"/>
      <c r="V787" s="271"/>
      <c r="W787" s="271"/>
      <c r="X787" s="271"/>
      <c r="Y787" s="271"/>
      <c r="Z787" s="271"/>
    </row>
    <row r="788">
      <c r="A788" s="271"/>
      <c r="B788" s="271"/>
      <c r="C788" s="271"/>
      <c r="D788" s="271"/>
      <c r="E788" s="271"/>
      <c r="F788" s="271"/>
      <c r="G788" s="271"/>
      <c r="H788" s="271"/>
      <c r="I788" s="271"/>
      <c r="J788" s="271"/>
      <c r="K788" s="271"/>
      <c r="L788" s="271"/>
      <c r="M788" s="271"/>
      <c r="N788" s="271"/>
      <c r="O788" s="271"/>
      <c r="P788" s="271"/>
      <c r="Q788" s="271"/>
      <c r="R788" s="271"/>
      <c r="S788" s="271"/>
      <c r="T788" s="271"/>
      <c r="U788" s="271"/>
      <c r="V788" s="271"/>
      <c r="W788" s="271"/>
      <c r="X788" s="271"/>
      <c r="Y788" s="271"/>
      <c r="Z788" s="271"/>
    </row>
    <row r="789">
      <c r="A789" s="271"/>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1"/>
      <c r="Z789" s="271"/>
    </row>
    <row r="790">
      <c r="A790" s="271"/>
      <c r="B790" s="271"/>
      <c r="C790" s="271"/>
      <c r="D790" s="271"/>
      <c r="E790" s="271"/>
      <c r="F790" s="271"/>
      <c r="G790" s="271"/>
      <c r="H790" s="271"/>
      <c r="I790" s="271"/>
      <c r="J790" s="271"/>
      <c r="K790" s="271"/>
      <c r="L790" s="271"/>
      <c r="M790" s="271"/>
      <c r="N790" s="271"/>
      <c r="O790" s="271"/>
      <c r="P790" s="271"/>
      <c r="Q790" s="271"/>
      <c r="R790" s="271"/>
      <c r="S790" s="271"/>
      <c r="T790" s="271"/>
      <c r="U790" s="271"/>
      <c r="V790" s="271"/>
      <c r="W790" s="271"/>
      <c r="X790" s="271"/>
      <c r="Y790" s="271"/>
      <c r="Z790" s="271"/>
    </row>
    <row r="791">
      <c r="A791" s="271"/>
      <c r="B791" s="271"/>
      <c r="C791" s="271"/>
      <c r="D791" s="271"/>
      <c r="E791" s="271"/>
      <c r="F791" s="271"/>
      <c r="G791" s="271"/>
      <c r="H791" s="271"/>
      <c r="I791" s="271"/>
      <c r="J791" s="271"/>
      <c r="K791" s="271"/>
      <c r="L791" s="271"/>
      <c r="M791" s="271"/>
      <c r="N791" s="271"/>
      <c r="O791" s="271"/>
      <c r="P791" s="271"/>
      <c r="Q791" s="271"/>
      <c r="R791" s="271"/>
      <c r="S791" s="271"/>
      <c r="T791" s="271"/>
      <c r="U791" s="271"/>
      <c r="V791" s="271"/>
      <c r="W791" s="271"/>
      <c r="X791" s="271"/>
      <c r="Y791" s="271"/>
      <c r="Z791" s="271"/>
    </row>
    <row r="792">
      <c r="A792" s="271"/>
      <c r="B792" s="271"/>
      <c r="C792" s="271"/>
      <c r="D792" s="271"/>
      <c r="E792" s="271"/>
      <c r="F792" s="271"/>
      <c r="G792" s="271"/>
      <c r="H792" s="271"/>
      <c r="I792" s="271"/>
      <c r="J792" s="271"/>
      <c r="K792" s="271"/>
      <c r="L792" s="271"/>
      <c r="M792" s="271"/>
      <c r="N792" s="271"/>
      <c r="O792" s="271"/>
      <c r="P792" s="271"/>
      <c r="Q792" s="271"/>
      <c r="R792" s="271"/>
      <c r="S792" s="271"/>
      <c r="T792" s="271"/>
      <c r="U792" s="271"/>
      <c r="V792" s="271"/>
      <c r="W792" s="271"/>
      <c r="X792" s="271"/>
      <c r="Y792" s="271"/>
      <c r="Z792" s="271"/>
    </row>
    <row r="793">
      <c r="A793" s="271"/>
      <c r="B793" s="271"/>
      <c r="C793" s="271"/>
      <c r="D793" s="271"/>
      <c r="E793" s="271"/>
      <c r="F793" s="271"/>
      <c r="G793" s="271"/>
      <c r="H793" s="271"/>
      <c r="I793" s="271"/>
      <c r="J793" s="271"/>
      <c r="K793" s="271"/>
      <c r="L793" s="271"/>
      <c r="M793" s="271"/>
      <c r="N793" s="271"/>
      <c r="O793" s="271"/>
      <c r="P793" s="271"/>
      <c r="Q793" s="271"/>
      <c r="R793" s="271"/>
      <c r="S793" s="271"/>
      <c r="T793" s="271"/>
      <c r="U793" s="271"/>
      <c r="V793" s="271"/>
      <c r="W793" s="271"/>
      <c r="X793" s="271"/>
      <c r="Y793" s="271"/>
      <c r="Z793" s="271"/>
    </row>
    <row r="794">
      <c r="A794" s="271"/>
      <c r="B794" s="271"/>
      <c r="C794" s="271"/>
      <c r="D794" s="271"/>
      <c r="E794" s="271"/>
      <c r="F794" s="271"/>
      <c r="G794" s="271"/>
      <c r="H794" s="271"/>
      <c r="I794" s="271"/>
      <c r="J794" s="271"/>
      <c r="K794" s="271"/>
      <c r="L794" s="271"/>
      <c r="M794" s="271"/>
      <c r="N794" s="271"/>
      <c r="O794" s="271"/>
      <c r="P794" s="271"/>
      <c r="Q794" s="271"/>
      <c r="R794" s="271"/>
      <c r="S794" s="271"/>
      <c r="T794" s="271"/>
      <c r="U794" s="271"/>
      <c r="V794" s="271"/>
      <c r="W794" s="271"/>
      <c r="X794" s="271"/>
      <c r="Y794" s="271"/>
      <c r="Z794" s="271"/>
    </row>
    <row r="795">
      <c r="A795" s="271"/>
      <c r="B795" s="271"/>
      <c r="C795" s="271"/>
      <c r="D795" s="271"/>
      <c r="E795" s="271"/>
      <c r="F795" s="271"/>
      <c r="G795" s="271"/>
      <c r="H795" s="271"/>
      <c r="I795" s="271"/>
      <c r="J795" s="271"/>
      <c r="K795" s="271"/>
      <c r="L795" s="271"/>
      <c r="M795" s="271"/>
      <c r="N795" s="271"/>
      <c r="O795" s="271"/>
      <c r="P795" s="271"/>
      <c r="Q795" s="271"/>
      <c r="R795" s="271"/>
      <c r="S795" s="271"/>
      <c r="T795" s="271"/>
      <c r="U795" s="271"/>
      <c r="V795" s="271"/>
      <c r="W795" s="271"/>
      <c r="X795" s="271"/>
      <c r="Y795" s="271"/>
      <c r="Z795" s="271"/>
    </row>
    <row r="796">
      <c r="A796" s="271"/>
      <c r="B796" s="271"/>
      <c r="C796" s="271"/>
      <c r="D796" s="271"/>
      <c r="E796" s="271"/>
      <c r="F796" s="271"/>
      <c r="G796" s="271"/>
      <c r="H796" s="271"/>
      <c r="I796" s="271"/>
      <c r="J796" s="271"/>
      <c r="K796" s="271"/>
      <c r="L796" s="271"/>
      <c r="M796" s="271"/>
      <c r="N796" s="271"/>
      <c r="O796" s="271"/>
      <c r="P796" s="271"/>
      <c r="Q796" s="271"/>
      <c r="R796" s="271"/>
      <c r="S796" s="271"/>
      <c r="T796" s="271"/>
      <c r="U796" s="271"/>
      <c r="V796" s="271"/>
      <c r="W796" s="271"/>
      <c r="X796" s="271"/>
      <c r="Y796" s="271"/>
      <c r="Z796" s="271"/>
    </row>
    <row r="797">
      <c r="A797" s="271"/>
      <c r="B797" s="271"/>
      <c r="C797" s="271"/>
      <c r="D797" s="271"/>
      <c r="E797" s="271"/>
      <c r="F797" s="271"/>
      <c r="G797" s="271"/>
      <c r="H797" s="271"/>
      <c r="I797" s="271"/>
      <c r="J797" s="271"/>
      <c r="K797" s="271"/>
      <c r="L797" s="271"/>
      <c r="M797" s="271"/>
      <c r="N797" s="271"/>
      <c r="O797" s="271"/>
      <c r="P797" s="271"/>
      <c r="Q797" s="271"/>
      <c r="R797" s="271"/>
      <c r="S797" s="271"/>
      <c r="T797" s="271"/>
      <c r="U797" s="271"/>
      <c r="V797" s="271"/>
      <c r="W797" s="271"/>
      <c r="X797" s="271"/>
      <c r="Y797" s="271"/>
      <c r="Z797" s="271"/>
    </row>
    <row r="798">
      <c r="A798" s="271"/>
      <c r="B798" s="271"/>
      <c r="C798" s="271"/>
      <c r="D798" s="271"/>
      <c r="E798" s="271"/>
      <c r="F798" s="271"/>
      <c r="G798" s="271"/>
      <c r="H798" s="271"/>
      <c r="I798" s="271"/>
      <c r="J798" s="271"/>
      <c r="K798" s="271"/>
      <c r="L798" s="271"/>
      <c r="M798" s="271"/>
      <c r="N798" s="271"/>
      <c r="O798" s="271"/>
      <c r="P798" s="271"/>
      <c r="Q798" s="271"/>
      <c r="R798" s="271"/>
      <c r="S798" s="271"/>
      <c r="T798" s="271"/>
      <c r="U798" s="271"/>
      <c r="V798" s="271"/>
      <c r="W798" s="271"/>
      <c r="X798" s="271"/>
      <c r="Y798" s="271"/>
      <c r="Z798" s="271"/>
    </row>
    <row r="799">
      <c r="A799" s="271"/>
      <c r="B799" s="271"/>
      <c r="C799" s="271"/>
      <c r="D799" s="271"/>
      <c r="E799" s="271"/>
      <c r="F799" s="271"/>
      <c r="G799" s="271"/>
      <c r="H799" s="271"/>
      <c r="I799" s="271"/>
      <c r="J799" s="271"/>
      <c r="K799" s="271"/>
      <c r="L799" s="271"/>
      <c r="M799" s="271"/>
      <c r="N799" s="271"/>
      <c r="O799" s="271"/>
      <c r="P799" s="271"/>
      <c r="Q799" s="271"/>
      <c r="R799" s="271"/>
      <c r="S799" s="271"/>
      <c r="T799" s="271"/>
      <c r="U799" s="271"/>
      <c r="V799" s="271"/>
      <c r="W799" s="271"/>
      <c r="X799" s="271"/>
      <c r="Y799" s="271"/>
      <c r="Z799" s="271"/>
    </row>
    <row r="800">
      <c r="A800" s="271"/>
      <c r="B800" s="271"/>
      <c r="C800" s="271"/>
      <c r="D800" s="271"/>
      <c r="E800" s="271"/>
      <c r="F800" s="271"/>
      <c r="G800" s="271"/>
      <c r="H800" s="271"/>
      <c r="I800" s="271"/>
      <c r="J800" s="271"/>
      <c r="K800" s="271"/>
      <c r="L800" s="271"/>
      <c r="M800" s="271"/>
      <c r="N800" s="271"/>
      <c r="O800" s="271"/>
      <c r="P800" s="271"/>
      <c r="Q800" s="271"/>
      <c r="R800" s="271"/>
      <c r="S800" s="271"/>
      <c r="T800" s="271"/>
      <c r="U800" s="271"/>
      <c r="V800" s="271"/>
      <c r="W800" s="271"/>
      <c r="X800" s="271"/>
      <c r="Y800" s="271"/>
      <c r="Z800" s="271"/>
    </row>
    <row r="801">
      <c r="A801" s="271"/>
      <c r="B801" s="271"/>
      <c r="C801" s="271"/>
      <c r="D801" s="271"/>
      <c r="E801" s="271"/>
      <c r="F801" s="271"/>
      <c r="G801" s="271"/>
      <c r="H801" s="271"/>
      <c r="I801" s="271"/>
      <c r="J801" s="271"/>
      <c r="K801" s="271"/>
      <c r="L801" s="271"/>
      <c r="M801" s="271"/>
      <c r="N801" s="271"/>
      <c r="O801" s="271"/>
      <c r="P801" s="271"/>
      <c r="Q801" s="271"/>
      <c r="R801" s="271"/>
      <c r="S801" s="271"/>
      <c r="T801" s="271"/>
      <c r="U801" s="271"/>
      <c r="V801" s="271"/>
      <c r="W801" s="271"/>
      <c r="X801" s="271"/>
      <c r="Y801" s="271"/>
      <c r="Z801" s="271"/>
    </row>
    <row r="802">
      <c r="A802" s="271"/>
      <c r="B802" s="271"/>
      <c r="C802" s="271"/>
      <c r="D802" s="271"/>
      <c r="E802" s="271"/>
      <c r="F802" s="271"/>
      <c r="G802" s="271"/>
      <c r="H802" s="271"/>
      <c r="I802" s="271"/>
      <c r="J802" s="271"/>
      <c r="K802" s="271"/>
      <c r="L802" s="271"/>
      <c r="M802" s="271"/>
      <c r="N802" s="271"/>
      <c r="O802" s="271"/>
      <c r="P802" s="271"/>
      <c r="Q802" s="271"/>
      <c r="R802" s="271"/>
      <c r="S802" s="271"/>
      <c r="T802" s="271"/>
      <c r="U802" s="271"/>
      <c r="V802" s="271"/>
      <c r="W802" s="271"/>
      <c r="X802" s="271"/>
      <c r="Y802" s="271"/>
      <c r="Z802" s="271"/>
    </row>
    <row r="803">
      <c r="A803" s="271"/>
      <c r="B803" s="271"/>
      <c r="C803" s="271"/>
      <c r="D803" s="271"/>
      <c r="E803" s="271"/>
      <c r="F803" s="271"/>
      <c r="G803" s="271"/>
      <c r="H803" s="271"/>
      <c r="I803" s="271"/>
      <c r="J803" s="271"/>
      <c r="K803" s="271"/>
      <c r="L803" s="271"/>
      <c r="M803" s="271"/>
      <c r="N803" s="271"/>
      <c r="O803" s="271"/>
      <c r="P803" s="271"/>
      <c r="Q803" s="271"/>
      <c r="R803" s="271"/>
      <c r="S803" s="271"/>
      <c r="T803" s="271"/>
      <c r="U803" s="271"/>
      <c r="V803" s="271"/>
      <c r="W803" s="271"/>
      <c r="X803" s="271"/>
      <c r="Y803" s="271"/>
      <c r="Z803" s="271"/>
    </row>
    <row r="804">
      <c r="A804" s="271"/>
      <c r="B804" s="271"/>
      <c r="C804" s="271"/>
      <c r="D804" s="271"/>
      <c r="E804" s="271"/>
      <c r="F804" s="271"/>
      <c r="G804" s="271"/>
      <c r="H804" s="271"/>
      <c r="I804" s="271"/>
      <c r="J804" s="271"/>
      <c r="K804" s="271"/>
      <c r="L804" s="271"/>
      <c r="M804" s="271"/>
      <c r="N804" s="271"/>
      <c r="O804" s="271"/>
      <c r="P804" s="271"/>
      <c r="Q804" s="271"/>
      <c r="R804" s="271"/>
      <c r="S804" s="271"/>
      <c r="T804" s="271"/>
      <c r="U804" s="271"/>
      <c r="V804" s="271"/>
      <c r="W804" s="271"/>
      <c r="X804" s="271"/>
      <c r="Y804" s="271"/>
      <c r="Z804" s="271"/>
    </row>
    <row r="805">
      <c r="A805" s="271"/>
      <c r="B805" s="271"/>
      <c r="C805" s="271"/>
      <c r="D805" s="271"/>
      <c r="E805" s="271"/>
      <c r="F805" s="271"/>
      <c r="G805" s="271"/>
      <c r="H805" s="271"/>
      <c r="I805" s="271"/>
      <c r="J805" s="271"/>
      <c r="K805" s="271"/>
      <c r="L805" s="271"/>
      <c r="M805" s="271"/>
      <c r="N805" s="271"/>
      <c r="O805" s="271"/>
      <c r="P805" s="271"/>
      <c r="Q805" s="271"/>
      <c r="R805" s="271"/>
      <c r="S805" s="271"/>
      <c r="T805" s="271"/>
      <c r="U805" s="271"/>
      <c r="V805" s="271"/>
      <c r="W805" s="271"/>
      <c r="X805" s="271"/>
      <c r="Y805" s="271"/>
      <c r="Z805" s="271"/>
    </row>
  </sheetData>
  <mergeCells count="56">
    <mergeCell ref="B1:I1"/>
    <mergeCell ref="B3:I3"/>
    <mergeCell ref="B5:I5"/>
    <mergeCell ref="B7:I7"/>
    <mergeCell ref="B9:I9"/>
    <mergeCell ref="B11:I11"/>
    <mergeCell ref="B13:I13"/>
    <mergeCell ref="B15:I15"/>
    <mergeCell ref="B16:I16"/>
    <mergeCell ref="B18:I18"/>
    <mergeCell ref="B20:I20"/>
    <mergeCell ref="B22:I22"/>
    <mergeCell ref="B24:I24"/>
    <mergeCell ref="B26:I26"/>
    <mergeCell ref="C27:I27"/>
    <mergeCell ref="B28:I28"/>
    <mergeCell ref="C29:I29"/>
    <mergeCell ref="B30:I30"/>
    <mergeCell ref="C31:I31"/>
    <mergeCell ref="B32:I32"/>
    <mergeCell ref="C33:I33"/>
    <mergeCell ref="B34:I34"/>
    <mergeCell ref="B36:I36"/>
    <mergeCell ref="B38:I38"/>
    <mergeCell ref="B40:I40"/>
    <mergeCell ref="B42:I42"/>
    <mergeCell ref="B44:I44"/>
    <mergeCell ref="B45:I45"/>
    <mergeCell ref="B46:I46"/>
    <mergeCell ref="B47:I47"/>
    <mergeCell ref="B49:I49"/>
    <mergeCell ref="B50:I50"/>
    <mergeCell ref="C51:I51"/>
    <mergeCell ref="B52:I52"/>
    <mergeCell ref="B53:I53"/>
    <mergeCell ref="B54:I54"/>
    <mergeCell ref="B55:I55"/>
    <mergeCell ref="B56:I56"/>
    <mergeCell ref="D57:I57"/>
    <mergeCell ref="B58:I58"/>
    <mergeCell ref="B59:I59"/>
    <mergeCell ref="B60:I60"/>
    <mergeCell ref="B71:I71"/>
    <mergeCell ref="C72:I72"/>
    <mergeCell ref="C76:I76"/>
    <mergeCell ref="C77:I77"/>
    <mergeCell ref="C78:I78"/>
    <mergeCell ref="C80:I80"/>
    <mergeCell ref="C84:I84"/>
    <mergeCell ref="B61:I61"/>
    <mergeCell ref="B62:I62"/>
    <mergeCell ref="B64:I64"/>
    <mergeCell ref="B65:I65"/>
    <mergeCell ref="C66:I66"/>
    <mergeCell ref="B67:I67"/>
    <mergeCell ref="B69:I6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2" max="2" width="11.75"/>
    <col customWidth="1" min="3" max="3" width="1.88"/>
    <col customWidth="1" min="4" max="4" width="16.13"/>
    <col customWidth="1" min="6" max="6" width="2.63"/>
    <col customWidth="1" min="7" max="7" width="14.0"/>
    <col customWidth="1" min="8" max="8" width="1.75"/>
    <col customWidth="1" min="9" max="9" width="23.25"/>
    <col customWidth="1" min="10" max="10" width="2.63"/>
  </cols>
  <sheetData>
    <row r="1">
      <c r="A1" s="190"/>
      <c r="B1" s="174" t="str">
        <f>"ARBEIDSOEVEENKOMST VOOR "&amp;IF(FillIn!D12&gt;0,"BEPAALDE","ONBEPAALDE")&amp;" TIJD"</f>
        <v>ARBEIDSOEVEENKOMST VOOR BEPAALDE TIJD</v>
      </c>
      <c r="J1" s="190"/>
      <c r="K1" s="190"/>
      <c r="L1" s="190"/>
      <c r="M1" s="190"/>
      <c r="N1" s="190"/>
      <c r="O1" s="190"/>
      <c r="P1" s="190"/>
      <c r="Q1" s="190"/>
      <c r="R1" s="190"/>
      <c r="S1" s="190"/>
      <c r="T1" s="190"/>
      <c r="U1" s="190"/>
      <c r="V1" s="190"/>
      <c r="W1" s="190"/>
      <c r="X1" s="190"/>
      <c r="Y1" s="190"/>
      <c r="Z1" s="190"/>
    </row>
    <row r="2">
      <c r="A2" s="190"/>
      <c r="B2" s="150"/>
      <c r="C2" s="150"/>
      <c r="D2" s="150"/>
      <c r="E2" s="150"/>
      <c r="F2" s="150"/>
      <c r="G2" s="150"/>
      <c r="H2" s="150"/>
      <c r="I2" s="150"/>
      <c r="J2" s="190"/>
      <c r="K2" s="190"/>
      <c r="L2" s="190"/>
      <c r="M2" s="190"/>
      <c r="N2" s="190"/>
      <c r="O2" s="190"/>
      <c r="P2" s="190"/>
      <c r="Q2" s="190"/>
      <c r="R2" s="190"/>
      <c r="S2" s="190"/>
      <c r="T2" s="190"/>
      <c r="U2" s="190"/>
      <c r="V2" s="190"/>
      <c r="W2" s="190"/>
      <c r="X2" s="190"/>
      <c r="Y2" s="190"/>
      <c r="Z2" s="190"/>
    </row>
    <row r="3">
      <c r="A3" s="190"/>
      <c r="B3" s="144" t="s">
        <v>165</v>
      </c>
      <c r="C3" s="144"/>
      <c r="D3" s="294"/>
      <c r="E3" s="294"/>
      <c r="F3" s="295"/>
      <c r="G3" s="295"/>
      <c r="H3" s="295"/>
      <c r="I3" s="295"/>
      <c r="J3" s="190"/>
      <c r="K3" s="190"/>
      <c r="L3" s="190"/>
      <c r="M3" s="190"/>
      <c r="N3" s="190"/>
      <c r="O3" s="190"/>
      <c r="P3" s="190"/>
      <c r="Q3" s="190"/>
      <c r="R3" s="190"/>
      <c r="S3" s="190"/>
      <c r="T3" s="190"/>
      <c r="U3" s="190"/>
      <c r="V3" s="190"/>
      <c r="W3" s="190"/>
      <c r="X3" s="190"/>
      <c r="Y3" s="190"/>
      <c r="Z3" s="190"/>
    </row>
    <row r="4">
      <c r="A4" s="190"/>
      <c r="B4" s="158" t="s">
        <v>30</v>
      </c>
      <c r="C4" s="294"/>
      <c r="D4" s="294"/>
      <c r="E4" s="295"/>
      <c r="F4" s="295"/>
      <c r="G4" s="158" t="s">
        <v>827</v>
      </c>
      <c r="H4" s="145"/>
      <c r="I4" s="295"/>
      <c r="J4" s="190"/>
      <c r="K4" s="190"/>
      <c r="L4" s="190"/>
      <c r="M4" s="190"/>
      <c r="N4" s="190"/>
      <c r="O4" s="190"/>
      <c r="P4" s="190"/>
      <c r="Q4" s="190"/>
      <c r="R4" s="190"/>
      <c r="S4" s="190"/>
      <c r="T4" s="190"/>
      <c r="U4" s="190"/>
      <c r="V4" s="190"/>
      <c r="W4" s="190"/>
      <c r="X4" s="190"/>
      <c r="Y4" s="190"/>
      <c r="Z4" s="190"/>
    </row>
    <row r="5">
      <c r="A5" s="190"/>
      <c r="B5" s="144" t="s">
        <v>168</v>
      </c>
      <c r="C5" s="144" t="s">
        <v>169</v>
      </c>
      <c r="D5" s="202" t="str">
        <f>FillIn!H4</f>
        <v>DeNeX Uitzendbureau B.V.</v>
      </c>
      <c r="E5" s="294"/>
      <c r="F5" s="294"/>
      <c r="G5" s="144" t="s">
        <v>665</v>
      </c>
      <c r="H5" s="144" t="s">
        <v>169</v>
      </c>
      <c r="I5" s="202" t="str">
        <f>FillIn!M4</f>
        <v>de heer G. Aslan</v>
      </c>
      <c r="J5" s="190"/>
      <c r="K5" s="190"/>
      <c r="L5" s="190"/>
      <c r="M5" s="190"/>
      <c r="N5" s="190"/>
      <c r="O5" s="190"/>
      <c r="P5" s="190"/>
      <c r="Q5" s="190"/>
      <c r="R5" s="190"/>
      <c r="S5" s="190"/>
      <c r="T5" s="190"/>
      <c r="U5" s="190"/>
      <c r="V5" s="190"/>
      <c r="W5" s="190"/>
      <c r="X5" s="190"/>
      <c r="Y5" s="190"/>
      <c r="Z5" s="190"/>
    </row>
    <row r="6">
      <c r="A6" s="190"/>
      <c r="B6" s="144" t="s">
        <v>170</v>
      </c>
      <c r="C6" s="144" t="s">
        <v>169</v>
      </c>
      <c r="D6" s="144" t="str">
        <f>FillIn!H6</f>
        <v>Gebroken Meeldijk 66, Unit 1.15</v>
      </c>
      <c r="F6" s="294"/>
      <c r="G6" s="144" t="s">
        <v>170</v>
      </c>
      <c r="H6" s="202" t="s">
        <v>169</v>
      </c>
      <c r="I6" s="202" t="str">
        <f>FillIn!D5</f>
        <v>Bikscotelaan 248 /2/2140 Borgerhout</v>
      </c>
      <c r="J6" s="190"/>
      <c r="K6" s="190"/>
      <c r="L6" s="190"/>
      <c r="M6" s="190"/>
      <c r="N6" s="190"/>
      <c r="O6" s="190"/>
      <c r="P6" s="190"/>
      <c r="Q6" s="190"/>
      <c r="R6" s="190"/>
      <c r="S6" s="190"/>
      <c r="T6" s="190"/>
      <c r="U6" s="190"/>
      <c r="V6" s="190"/>
      <c r="W6" s="190"/>
      <c r="X6" s="190"/>
      <c r="Y6" s="190"/>
      <c r="Z6" s="190"/>
    </row>
    <row r="7">
      <c r="A7" s="190"/>
      <c r="B7" s="144" t="s">
        <v>171</v>
      </c>
      <c r="C7" s="144" t="s">
        <v>169</v>
      </c>
      <c r="D7" s="202" t="str">
        <f>FillIn!H7&amp;" "&amp;FillIn!H8</f>
        <v>2991 VD Barendrecht</v>
      </c>
      <c r="E7" s="295"/>
      <c r="F7" s="294"/>
      <c r="G7" s="144" t="s">
        <v>828</v>
      </c>
      <c r="H7" s="144" t="s">
        <v>169</v>
      </c>
      <c r="I7" s="202" t="str">
        <f>FillIn!D6&amp;" "&amp;FillIn!D7</f>
        <v>2140 An twerp</v>
      </c>
      <c r="J7" s="190"/>
      <c r="K7" s="190"/>
      <c r="L7" s="190"/>
      <c r="M7" s="190"/>
      <c r="N7" s="190"/>
      <c r="O7" s="190"/>
      <c r="P7" s="190"/>
      <c r="Q7" s="190"/>
      <c r="R7" s="190"/>
      <c r="S7" s="190"/>
      <c r="T7" s="190"/>
      <c r="U7" s="190"/>
      <c r="V7" s="190"/>
      <c r="W7" s="190"/>
      <c r="X7" s="190"/>
      <c r="Y7" s="190"/>
      <c r="Z7" s="190"/>
    </row>
    <row r="8">
      <c r="A8" s="190"/>
      <c r="B8" s="144" t="s">
        <v>172</v>
      </c>
      <c r="C8" s="144" t="s">
        <v>169</v>
      </c>
      <c r="D8" s="144" t="str">
        <f>FillIn!M5</f>
        <v>de heer D.O. Ibryam</v>
      </c>
      <c r="E8" s="294"/>
      <c r="F8" s="294"/>
      <c r="G8" s="144" t="s">
        <v>829</v>
      </c>
      <c r="H8" s="144" t="s">
        <v>169</v>
      </c>
      <c r="I8" s="148">
        <f>FillIn!D8</f>
        <v>29310</v>
      </c>
      <c r="J8" s="190"/>
      <c r="K8" s="190"/>
      <c r="L8" s="190"/>
      <c r="M8" s="190"/>
      <c r="N8" s="190"/>
      <c r="O8" s="190"/>
      <c r="P8" s="190"/>
      <c r="Q8" s="190"/>
      <c r="R8" s="190"/>
      <c r="S8" s="190"/>
      <c r="T8" s="190"/>
      <c r="U8" s="190"/>
      <c r="V8" s="190"/>
      <c r="W8" s="190"/>
      <c r="X8" s="190"/>
      <c r="Y8" s="190"/>
      <c r="Z8" s="190"/>
    </row>
    <row r="9">
      <c r="A9" s="190"/>
      <c r="B9" s="157"/>
      <c r="C9" s="294"/>
      <c r="D9" s="294"/>
      <c r="E9" s="295"/>
      <c r="F9" s="294"/>
      <c r="G9" s="144" t="s">
        <v>39</v>
      </c>
      <c r="H9" s="144" t="s">
        <v>169</v>
      </c>
      <c r="I9" s="148">
        <f>FillIn!D9</f>
        <v>235116026</v>
      </c>
      <c r="J9" s="190"/>
      <c r="K9" s="190"/>
      <c r="L9" s="190"/>
      <c r="M9" s="190"/>
      <c r="N9" s="190"/>
      <c r="O9" s="190"/>
      <c r="P9" s="190"/>
      <c r="Q9" s="190"/>
      <c r="R9" s="190"/>
      <c r="S9" s="190"/>
      <c r="T9" s="190"/>
      <c r="U9" s="190"/>
      <c r="V9" s="190"/>
      <c r="W9" s="190"/>
      <c r="X9" s="190"/>
      <c r="Y9" s="190"/>
      <c r="Z9" s="190"/>
    </row>
    <row r="10">
      <c r="A10" s="190"/>
      <c r="B10" s="144" t="s">
        <v>830</v>
      </c>
      <c r="E10" s="294"/>
      <c r="F10" s="294"/>
      <c r="G10" s="294"/>
      <c r="H10" s="294"/>
      <c r="I10" s="148"/>
      <c r="J10" s="190"/>
      <c r="K10" s="190"/>
      <c r="L10" s="190"/>
      <c r="M10" s="190"/>
      <c r="N10" s="190"/>
      <c r="O10" s="190"/>
      <c r="P10" s="190"/>
      <c r="Q10" s="190"/>
      <c r="R10" s="190"/>
      <c r="S10" s="190"/>
      <c r="T10" s="190"/>
      <c r="U10" s="190"/>
      <c r="V10" s="190"/>
      <c r="W10" s="190"/>
      <c r="X10" s="190"/>
      <c r="Y10" s="190"/>
      <c r="Z10" s="190"/>
    </row>
    <row r="11">
      <c r="A11" s="190"/>
      <c r="B11" s="294"/>
      <c r="C11" s="294"/>
      <c r="D11" s="294"/>
      <c r="E11" s="295"/>
      <c r="F11" s="295"/>
      <c r="G11" s="295"/>
      <c r="H11" s="295"/>
      <c r="I11" s="295"/>
      <c r="J11" s="190"/>
      <c r="K11" s="190"/>
      <c r="L11" s="190"/>
      <c r="M11" s="190"/>
      <c r="N11" s="190"/>
      <c r="O11" s="190"/>
      <c r="P11" s="190"/>
      <c r="Q11" s="190"/>
      <c r="R11" s="190"/>
      <c r="S11" s="190"/>
      <c r="T11" s="190"/>
      <c r="U11" s="190"/>
      <c r="V11" s="190"/>
      <c r="W11" s="190"/>
      <c r="X11" s="190"/>
      <c r="Y11" s="190"/>
      <c r="Z11" s="190"/>
    </row>
    <row r="12">
      <c r="A12" s="190"/>
      <c r="B12" s="296" t="s">
        <v>831</v>
      </c>
      <c r="G12" s="297"/>
      <c r="H12" s="297"/>
      <c r="I12" s="297"/>
      <c r="J12" s="190"/>
      <c r="K12" s="190"/>
      <c r="L12" s="190"/>
      <c r="M12" s="190"/>
      <c r="N12" s="190"/>
      <c r="O12" s="190"/>
      <c r="P12" s="190"/>
      <c r="Q12" s="190"/>
      <c r="R12" s="190"/>
      <c r="S12" s="190"/>
      <c r="T12" s="190"/>
      <c r="U12" s="190"/>
      <c r="V12" s="190"/>
      <c r="W12" s="190"/>
      <c r="X12" s="190"/>
      <c r="Y12" s="190"/>
      <c r="Z12" s="190"/>
    </row>
    <row r="13">
      <c r="A13" s="190"/>
      <c r="B13" s="138" t="str">
        <f>"Er is een dienstverband aangegaan met ingang van: "&amp;TEXT(FillIn!D11,"dd mmmm yyyy")&amp;IF(FillIn!D12&gt;0," tot "&amp;TEXT(FillIn!D12,"dd mmmm yyyy")&amp;".",".")</f>
        <v>Er is een dienstverband aangegaan met ingang van: 18 november 2025 tot 17 mei 2026.</v>
      </c>
      <c r="H13" s="297"/>
      <c r="I13" s="297"/>
      <c r="J13" s="190"/>
      <c r="K13" s="190"/>
      <c r="L13" s="190"/>
      <c r="M13" s="190"/>
      <c r="N13" s="190"/>
      <c r="O13" s="190"/>
      <c r="P13" s="190"/>
      <c r="Q13" s="190"/>
      <c r="R13" s="190"/>
      <c r="S13" s="190"/>
      <c r="T13" s="190"/>
      <c r="U13" s="190"/>
      <c r="V13" s="190"/>
      <c r="W13" s="190"/>
      <c r="X13" s="190"/>
      <c r="Y13" s="190"/>
      <c r="Z13" s="190"/>
    </row>
    <row r="14">
      <c r="A14" s="190"/>
      <c r="B14" s="297"/>
      <c r="C14" s="297"/>
      <c r="D14" s="297"/>
      <c r="E14" s="297"/>
      <c r="F14" s="297"/>
      <c r="G14" s="297"/>
      <c r="H14" s="297"/>
      <c r="I14" s="297"/>
      <c r="J14" s="190"/>
      <c r="K14" s="190"/>
      <c r="L14" s="190"/>
      <c r="M14" s="190"/>
      <c r="N14" s="190"/>
      <c r="O14" s="190"/>
      <c r="P14" s="190"/>
      <c r="Q14" s="190"/>
      <c r="R14" s="190"/>
      <c r="S14" s="190"/>
      <c r="T14" s="190"/>
      <c r="U14" s="190"/>
      <c r="V14" s="190"/>
      <c r="W14" s="190"/>
      <c r="X14" s="190"/>
      <c r="Y14" s="190"/>
      <c r="Z14" s="190"/>
    </row>
    <row r="15">
      <c r="A15" s="190"/>
      <c r="B15" s="138" t="str">
        <f>"De werknemer is aangenomen voor de functie van "&amp;FillIn!D13&amp;"."</f>
        <v>De werknemer is aangenomen voor de functie van Chauffeur.</v>
      </c>
      <c r="G15" s="297"/>
      <c r="H15" s="297"/>
      <c r="I15" s="297"/>
      <c r="J15" s="190"/>
      <c r="K15" s="190"/>
      <c r="L15" s="190"/>
      <c r="M15" s="190"/>
      <c r="N15" s="190"/>
      <c r="O15" s="190"/>
      <c r="P15" s="190"/>
      <c r="Q15" s="190"/>
      <c r="R15" s="190"/>
      <c r="S15" s="190"/>
      <c r="T15" s="190"/>
      <c r="U15" s="190"/>
      <c r="V15" s="190"/>
      <c r="W15" s="190"/>
      <c r="X15" s="190"/>
      <c r="Y15" s="190"/>
      <c r="Z15" s="190"/>
    </row>
    <row r="16">
      <c r="A16" s="190"/>
      <c r="B16" s="297"/>
      <c r="C16" s="297"/>
      <c r="D16" s="297"/>
      <c r="E16" s="297"/>
      <c r="F16" s="297"/>
      <c r="G16" s="297"/>
      <c r="H16" s="297"/>
      <c r="I16" s="297"/>
      <c r="J16" s="190"/>
      <c r="K16" s="190"/>
      <c r="L16" s="190"/>
      <c r="M16" s="190"/>
      <c r="N16" s="190"/>
      <c r="O16" s="190"/>
      <c r="P16" s="190"/>
      <c r="Q16" s="190"/>
      <c r="R16" s="190"/>
      <c r="S16" s="190"/>
      <c r="T16" s="190"/>
      <c r="U16" s="190"/>
      <c r="V16" s="190"/>
      <c r="W16" s="190"/>
      <c r="X16" s="190"/>
      <c r="Y16" s="190"/>
      <c r="Z16" s="190"/>
    </row>
    <row r="17">
      <c r="A17" s="190"/>
      <c r="B17" s="298" t="s">
        <v>832</v>
      </c>
      <c r="J17" s="190"/>
      <c r="K17" s="190"/>
      <c r="L17" s="190"/>
      <c r="M17" s="190"/>
      <c r="N17" s="190"/>
      <c r="O17" s="190"/>
      <c r="P17" s="190"/>
      <c r="Q17" s="190"/>
      <c r="R17" s="190"/>
      <c r="S17" s="190"/>
      <c r="T17" s="190"/>
      <c r="U17" s="190"/>
      <c r="V17" s="190"/>
      <c r="W17" s="190"/>
      <c r="X17" s="190"/>
      <c r="Y17" s="190"/>
      <c r="Z17" s="190"/>
    </row>
    <row r="18">
      <c r="A18" s="190"/>
      <c r="B18" s="297"/>
      <c r="C18" s="297"/>
      <c r="D18" s="297"/>
      <c r="E18" s="297"/>
      <c r="F18" s="297"/>
      <c r="G18" s="297"/>
      <c r="H18" s="297"/>
      <c r="I18" s="297"/>
      <c r="J18" s="190"/>
      <c r="K18" s="190"/>
      <c r="L18" s="190"/>
      <c r="M18" s="190"/>
      <c r="N18" s="190"/>
      <c r="O18" s="190"/>
      <c r="P18" s="190"/>
      <c r="Q18" s="190"/>
      <c r="R18" s="190"/>
      <c r="S18" s="190"/>
      <c r="T18" s="190"/>
      <c r="U18" s="190"/>
      <c r="V18" s="190"/>
      <c r="W18" s="190"/>
      <c r="X18" s="190"/>
      <c r="Y18" s="190"/>
      <c r="Z18" s="190"/>
    </row>
    <row r="19">
      <c r="A19" s="190"/>
      <c r="B19" s="299" t="s">
        <v>833</v>
      </c>
      <c r="C19" s="297"/>
      <c r="D19" s="297"/>
      <c r="E19" s="297"/>
      <c r="F19" s="297"/>
      <c r="G19" s="297"/>
      <c r="H19" s="297"/>
      <c r="I19" s="297"/>
      <c r="J19" s="190"/>
      <c r="K19" s="190"/>
      <c r="L19" s="190"/>
      <c r="M19" s="190"/>
      <c r="N19" s="190"/>
      <c r="O19" s="190"/>
      <c r="P19" s="190"/>
      <c r="Q19" s="190"/>
      <c r="R19" s="190"/>
      <c r="S19" s="190"/>
      <c r="T19" s="190"/>
      <c r="U19" s="190"/>
      <c r="V19" s="190"/>
      <c r="W19" s="190"/>
      <c r="X19" s="190"/>
      <c r="Y19" s="190"/>
      <c r="Z19" s="190"/>
    </row>
    <row r="20">
      <c r="A20" s="190"/>
      <c r="B20" s="138" t="str">
        <f>IF(FillIn!D14&gt;0,"Dit arbeidscontract is aangegaan met inachtneming van een wederzijdse proeftijd van "&amp;FillIn!D14&amp;". Gedurende deze proeftijd kunnen beide partijen het arbeidscontract met directe ingang beëindigen. Een schriftelijke bevestiging hiervan is niet benodigd. De proeftijd is van toepassing indien een dienstverband voor een minimale duur van 12 maanden is aa"&amp;"ngegaan.","Er is geen proeftijd bij het aangaan van de dienstverband.")</f>
        <v>Er is geen proeftijd bij het aangaan van de dienstverband.</v>
      </c>
      <c r="J20" s="190"/>
      <c r="K20" s="190"/>
      <c r="L20" s="190"/>
      <c r="M20" s="190"/>
      <c r="N20" s="190"/>
      <c r="O20" s="190"/>
      <c r="P20" s="190"/>
      <c r="Q20" s="190"/>
      <c r="R20" s="190"/>
      <c r="S20" s="190"/>
      <c r="T20" s="190"/>
      <c r="U20" s="190"/>
      <c r="V20" s="190"/>
      <c r="W20" s="190"/>
      <c r="X20" s="190"/>
      <c r="Y20" s="190"/>
      <c r="Z20" s="190"/>
    </row>
    <row r="21">
      <c r="A21" s="190"/>
      <c r="B21" s="297"/>
      <c r="C21" s="297"/>
      <c r="D21" s="297"/>
      <c r="E21" s="297"/>
      <c r="F21" s="297"/>
      <c r="G21" s="297"/>
      <c r="H21" s="297"/>
      <c r="I21" s="297"/>
      <c r="J21" s="190"/>
      <c r="K21" s="190"/>
      <c r="L21" s="190"/>
      <c r="M21" s="190"/>
      <c r="N21" s="190"/>
      <c r="O21" s="190"/>
      <c r="P21" s="190"/>
      <c r="Q21" s="190"/>
      <c r="R21" s="190"/>
      <c r="S21" s="190"/>
      <c r="T21" s="190"/>
      <c r="U21" s="190"/>
      <c r="V21" s="190"/>
      <c r="W21" s="190"/>
      <c r="X21" s="190"/>
      <c r="Y21" s="190"/>
      <c r="Z21" s="190"/>
    </row>
    <row r="22">
      <c r="A22" s="190"/>
      <c r="B22" s="300" t="s">
        <v>834</v>
      </c>
      <c r="J22" s="190"/>
      <c r="K22" s="190"/>
      <c r="L22" s="190"/>
      <c r="M22" s="190"/>
      <c r="N22" s="190"/>
      <c r="O22" s="190"/>
      <c r="P22" s="190"/>
      <c r="Q22" s="190"/>
      <c r="R22" s="190"/>
      <c r="S22" s="190"/>
      <c r="T22" s="190"/>
      <c r="U22" s="190"/>
      <c r="V22" s="190"/>
      <c r="W22" s="190"/>
      <c r="X22" s="190"/>
      <c r="Y22" s="190"/>
      <c r="Z22" s="190"/>
    </row>
    <row r="23">
      <c r="A23" s="190"/>
      <c r="B23" s="175" t="str">
        <f>"De wekelijkse arbeidsduur bedraagt "&amp;FillIn!D15&amp;"."</f>
        <v>De wekelijkse arbeidsduur bedraagt 40 uur per week.</v>
      </c>
      <c r="J23" s="190"/>
      <c r="K23" s="190"/>
      <c r="L23" s="190"/>
      <c r="M23" s="190"/>
      <c r="N23" s="190"/>
      <c r="O23" s="190"/>
      <c r="P23" s="190"/>
      <c r="Q23" s="190"/>
      <c r="R23" s="190"/>
      <c r="S23" s="190"/>
      <c r="T23" s="190"/>
      <c r="U23" s="190"/>
      <c r="V23" s="190"/>
      <c r="W23" s="190"/>
      <c r="X23" s="190"/>
      <c r="Y23" s="190"/>
      <c r="Z23" s="190"/>
    </row>
    <row r="24">
      <c r="A24" s="190"/>
      <c r="B24" s="301" t="str">
        <f>"Werknemer verklaart op de hoogte te zijn van en in te stemmen met de door werkgever geregelde wekelijkse planning voor "&amp;FillIn!D16&amp;". Werknemer is tevens op de hoogte gesteld dat de werktijden tussen "&amp;FillIn!D17&amp;" kunnen plaatsvinden. Werknemer is redelijkerwijs verplicht gehoor te geven aan een redelijk verzoek van ­werkgever om overwerk te verrichten."</f>
        <v>Werknemer verklaart op de hoogte te zijn van en in te stemmen met de door werkgever geregelde wekelijkse planning voor maandag t/m vrijdag. Werknemer is tevens op de hoogte gesteld dat de werktijden tussen tussen 7:00 uur t/m 19:00 uur kunnen plaatsvinden. Werknemer is redelijkerwijs verplicht gehoor te geven aan een redelijk verzoek van ­werkgever om overwerk te verrichten.</v>
      </c>
      <c r="J24" s="190"/>
      <c r="K24" s="190"/>
      <c r="L24" s="190"/>
      <c r="M24" s="190"/>
      <c r="N24" s="190"/>
      <c r="O24" s="190"/>
      <c r="P24" s="190"/>
      <c r="Q24" s="190"/>
      <c r="R24" s="190"/>
      <c r="S24" s="190"/>
      <c r="T24" s="190"/>
      <c r="U24" s="190"/>
      <c r="V24" s="190"/>
      <c r="W24" s="190"/>
      <c r="X24" s="190"/>
      <c r="Y24" s="190"/>
      <c r="Z24" s="190"/>
    </row>
    <row r="25">
      <c r="A25" s="190"/>
      <c r="B25" s="297"/>
      <c r="C25" s="297"/>
      <c r="D25" s="297"/>
      <c r="E25" s="297"/>
      <c r="F25" s="297"/>
      <c r="G25" s="297"/>
      <c r="H25" s="297"/>
      <c r="I25" s="297"/>
      <c r="J25" s="190"/>
      <c r="K25" s="190"/>
      <c r="L25" s="190"/>
      <c r="M25" s="190"/>
      <c r="N25" s="190"/>
      <c r="O25" s="190"/>
      <c r="P25" s="190"/>
      <c r="Q25" s="190"/>
      <c r="R25" s="190"/>
      <c r="S25" s="190"/>
      <c r="T25" s="190"/>
      <c r="U25" s="190"/>
      <c r="V25" s="190"/>
      <c r="W25" s="190"/>
      <c r="X25" s="190"/>
      <c r="Y25" s="190"/>
      <c r="Z25" s="190"/>
    </row>
    <row r="26">
      <c r="A26" s="190"/>
      <c r="B26" s="296" t="s">
        <v>835</v>
      </c>
      <c r="C26" s="297"/>
      <c r="D26" s="297"/>
      <c r="E26" s="297"/>
      <c r="F26" s="297"/>
      <c r="G26" s="297"/>
      <c r="H26" s="297"/>
      <c r="I26" s="297"/>
      <c r="J26" s="190"/>
      <c r="K26" s="190"/>
      <c r="L26" s="190"/>
      <c r="M26" s="190"/>
      <c r="N26" s="190"/>
      <c r="O26" s="190"/>
      <c r="P26" s="190"/>
      <c r="Q26" s="190"/>
      <c r="R26" s="190"/>
      <c r="S26" s="190"/>
      <c r="T26" s="190"/>
      <c r="U26" s="190"/>
      <c r="V26" s="190"/>
      <c r="W26" s="190"/>
      <c r="X26" s="190"/>
      <c r="Y26" s="190"/>
      <c r="Z26" s="190"/>
    </row>
    <row r="27">
      <c r="A27" s="190"/>
      <c r="B27" s="298" t="str">
        <f>"Werknemer ontvangt conform de cao en loonschaal "&amp;FillIn!D21&amp;" en trede "&amp;FillIn!D22&amp;" een salaris van € "&amp;FillIn!D24&amp;" bruto per uur door werkgever te voldoen voor of op de laatste dag van de maand."</f>
        <v>Werknemer ontvangt conform de cao en loonschaal D en trede 5 een salaris van € 18,71 bruto per uur door werkgever te voldoen voor of op de laatste dag van de maand.</v>
      </c>
      <c r="J27" s="190"/>
      <c r="K27" s="190"/>
      <c r="L27" s="190"/>
      <c r="M27" s="190"/>
      <c r="N27" s="190"/>
      <c r="O27" s="190"/>
      <c r="P27" s="190"/>
      <c r="Q27" s="190"/>
      <c r="R27" s="190"/>
      <c r="S27" s="190"/>
      <c r="T27" s="190"/>
      <c r="U27" s="190"/>
      <c r="V27" s="190"/>
      <c r="W27" s="190"/>
      <c r="X27" s="190"/>
      <c r="Y27" s="190"/>
      <c r="Z27" s="190"/>
    </row>
    <row r="28">
      <c r="A28" s="190"/>
      <c r="B28" s="297"/>
      <c r="C28" s="297"/>
      <c r="D28" s="297"/>
      <c r="E28" s="297"/>
      <c r="F28" s="297"/>
      <c r="G28" s="297"/>
      <c r="H28" s="297"/>
      <c r="I28" s="297"/>
      <c r="J28" s="190"/>
      <c r="K28" s="190"/>
      <c r="L28" s="190"/>
      <c r="M28" s="190"/>
      <c r="N28" s="190"/>
      <c r="O28" s="190"/>
      <c r="P28" s="190"/>
      <c r="Q28" s="190"/>
      <c r="R28" s="190"/>
      <c r="S28" s="190"/>
      <c r="T28" s="190"/>
      <c r="U28" s="190"/>
      <c r="V28" s="190"/>
      <c r="W28" s="190"/>
      <c r="X28" s="190"/>
      <c r="Y28" s="190"/>
      <c r="Z28" s="190"/>
    </row>
    <row r="29">
      <c r="A29" s="190"/>
      <c r="B29" s="296" t="s">
        <v>836</v>
      </c>
      <c r="J29" s="190"/>
      <c r="K29" s="190"/>
      <c r="L29" s="190"/>
      <c r="M29" s="190"/>
      <c r="N29" s="190"/>
      <c r="O29" s="190"/>
      <c r="P29" s="190"/>
      <c r="Q29" s="190"/>
      <c r="R29" s="190"/>
      <c r="S29" s="190"/>
      <c r="T29" s="190"/>
      <c r="U29" s="190"/>
      <c r="V29" s="190"/>
      <c r="W29" s="190"/>
      <c r="X29" s="190"/>
      <c r="Y29" s="190"/>
      <c r="Z29" s="190"/>
    </row>
    <row r="30">
      <c r="A30" s="190"/>
      <c r="B30" s="138" t="str">
        <f>"De werknemer ontvangt geen vergoeding voor de reiskosten woon-werkverkeer. Indien achteraf hierover schriftelijk wordt overeengekomen bedraagt de vergoeding maximaal € "&amp;FillIn!D25&amp;" per gereisde kilometer met een maximum reiskostenvergoeding van € "&amp;FillIn!D26&amp;" per maand. De reiskostenvergoeding is onbelast en maakt geen deel uit van het loon van de werknemer."</f>
        <v>De werknemer ontvangt geen vergoeding voor de reiskosten woon-werkverkeer. Indien achteraf hierover schriftelijk wordt overeengekomen bedraagt de vergoeding maximaal € 0,23 per gereisde kilometer met een maximum reiskostenvergoeding van € 100 per maand. De reiskostenvergoeding is onbelast en maakt geen deel uit van het loon van de werknemer.</v>
      </c>
      <c r="J30" s="190"/>
      <c r="K30" s="190"/>
      <c r="L30" s="190"/>
      <c r="M30" s="190"/>
      <c r="N30" s="190"/>
      <c r="O30" s="190"/>
      <c r="P30" s="190"/>
      <c r="Q30" s="190"/>
      <c r="R30" s="190"/>
      <c r="S30" s="190"/>
      <c r="T30" s="190"/>
      <c r="U30" s="190"/>
      <c r="V30" s="190"/>
      <c r="W30" s="190"/>
      <c r="X30" s="190"/>
      <c r="Y30" s="190"/>
      <c r="Z30" s="190"/>
    </row>
    <row r="31">
      <c r="A31" s="190"/>
      <c r="B31" s="297"/>
      <c r="C31" s="297"/>
      <c r="D31" s="297"/>
      <c r="E31" s="297"/>
      <c r="F31" s="297"/>
      <c r="G31" s="297"/>
      <c r="H31" s="297"/>
      <c r="I31" s="297"/>
      <c r="J31" s="190"/>
      <c r="K31" s="190"/>
      <c r="L31" s="190"/>
      <c r="M31" s="190"/>
      <c r="N31" s="190"/>
      <c r="O31" s="190"/>
      <c r="P31" s="190"/>
      <c r="Q31" s="190"/>
      <c r="R31" s="190"/>
      <c r="S31" s="190"/>
      <c r="T31" s="190"/>
      <c r="U31" s="190"/>
      <c r="V31" s="190"/>
      <c r="W31" s="190"/>
      <c r="X31" s="190"/>
      <c r="Y31" s="190"/>
      <c r="Z31" s="190"/>
    </row>
    <row r="32">
      <c r="A32" s="190"/>
      <c r="B32" s="296" t="s">
        <v>837</v>
      </c>
      <c r="J32" s="190"/>
      <c r="K32" s="190"/>
      <c r="L32" s="190"/>
      <c r="M32" s="190"/>
      <c r="N32" s="190"/>
      <c r="O32" s="190"/>
      <c r="P32" s="190"/>
      <c r="Q32" s="190"/>
      <c r="R32" s="190"/>
      <c r="S32" s="190"/>
      <c r="T32" s="190"/>
      <c r="U32" s="190"/>
      <c r="V32" s="190"/>
      <c r="W32" s="190"/>
      <c r="X32" s="190"/>
      <c r="Y32" s="190"/>
      <c r="Z32" s="190"/>
    </row>
    <row r="33">
      <c r="A33" s="190"/>
      <c r="B33" s="301" t="s">
        <v>838</v>
      </c>
      <c r="J33" s="190"/>
      <c r="K33" s="190"/>
      <c r="L33" s="190"/>
      <c r="M33" s="190"/>
      <c r="N33" s="190"/>
      <c r="O33" s="190"/>
      <c r="P33" s="190"/>
      <c r="Q33" s="190"/>
      <c r="R33" s="190"/>
      <c r="S33" s="190"/>
      <c r="T33" s="190"/>
      <c r="U33" s="190"/>
      <c r="V33" s="190"/>
      <c r="W33" s="190"/>
      <c r="X33" s="190"/>
      <c r="Y33" s="190"/>
      <c r="Z33" s="190"/>
    </row>
    <row r="34">
      <c r="A34" s="190"/>
      <c r="B34" s="301" t="s">
        <v>839</v>
      </c>
      <c r="J34" s="190"/>
      <c r="K34" s="190"/>
      <c r="L34" s="190"/>
      <c r="M34" s="190"/>
      <c r="N34" s="190"/>
      <c r="O34" s="190"/>
      <c r="P34" s="190"/>
      <c r="Q34" s="190"/>
      <c r="R34" s="190"/>
      <c r="S34" s="190"/>
      <c r="T34" s="190"/>
      <c r="U34" s="190"/>
      <c r="V34" s="190"/>
      <c r="W34" s="190"/>
      <c r="X34" s="190"/>
      <c r="Y34" s="190"/>
      <c r="Z34" s="190"/>
    </row>
    <row r="35">
      <c r="A35" s="190"/>
      <c r="B35" s="301" t="s">
        <v>840</v>
      </c>
      <c r="J35" s="190"/>
      <c r="K35" s="190"/>
      <c r="L35" s="190"/>
      <c r="M35" s="190"/>
      <c r="N35" s="190"/>
      <c r="O35" s="190"/>
      <c r="P35" s="190"/>
      <c r="Q35" s="190"/>
      <c r="R35" s="190"/>
      <c r="S35" s="190"/>
      <c r="T35" s="190"/>
      <c r="U35" s="190"/>
      <c r="V35" s="190"/>
      <c r="W35" s="190"/>
      <c r="X35" s="190"/>
      <c r="Y35" s="190"/>
      <c r="Z35" s="190"/>
    </row>
    <row r="36">
      <c r="A36" s="190"/>
      <c r="B36" s="297"/>
      <c r="C36" s="297"/>
      <c r="D36" s="297"/>
      <c r="E36" s="297"/>
      <c r="F36" s="297"/>
      <c r="G36" s="297"/>
      <c r="H36" s="297"/>
      <c r="I36" s="297"/>
      <c r="J36" s="190"/>
      <c r="K36" s="190"/>
      <c r="L36" s="190"/>
      <c r="M36" s="190"/>
      <c r="N36" s="190"/>
      <c r="O36" s="190"/>
      <c r="P36" s="190"/>
      <c r="Q36" s="190"/>
      <c r="R36" s="190"/>
      <c r="S36" s="190"/>
      <c r="T36" s="190"/>
      <c r="U36" s="190"/>
      <c r="V36" s="190"/>
      <c r="W36" s="190"/>
      <c r="X36" s="190"/>
      <c r="Y36" s="190"/>
      <c r="Z36" s="190"/>
    </row>
    <row r="37">
      <c r="A37" s="190"/>
      <c r="B37" s="300" t="s">
        <v>841</v>
      </c>
      <c r="J37" s="190"/>
      <c r="K37" s="190"/>
      <c r="L37" s="190"/>
      <c r="M37" s="190"/>
      <c r="N37" s="190"/>
      <c r="O37" s="190"/>
      <c r="P37" s="190"/>
      <c r="Q37" s="190"/>
      <c r="R37" s="190"/>
      <c r="S37" s="190"/>
      <c r="T37" s="190"/>
      <c r="U37" s="190"/>
      <c r="V37" s="190"/>
      <c r="W37" s="190"/>
      <c r="X37" s="190"/>
      <c r="Y37" s="190"/>
      <c r="Z37" s="190"/>
    </row>
    <row r="38">
      <c r="A38" s="190"/>
      <c r="B38" s="301" t="s">
        <v>842</v>
      </c>
      <c r="J38" s="190"/>
      <c r="K38" s="190"/>
      <c r="L38" s="190"/>
      <c r="M38" s="190"/>
      <c r="N38" s="190"/>
      <c r="O38" s="190"/>
      <c r="P38" s="190"/>
      <c r="Q38" s="190"/>
      <c r="R38" s="190"/>
      <c r="S38" s="190"/>
      <c r="T38" s="190"/>
      <c r="U38" s="190"/>
      <c r="V38" s="190"/>
      <c r="W38" s="190"/>
      <c r="X38" s="190"/>
      <c r="Y38" s="190"/>
      <c r="Z38" s="190"/>
    </row>
    <row r="39">
      <c r="A39" s="190"/>
      <c r="B39" s="301" t="s">
        <v>843</v>
      </c>
      <c r="J39" s="190"/>
      <c r="K39" s="190"/>
      <c r="L39" s="190"/>
      <c r="M39" s="190"/>
      <c r="N39" s="190"/>
      <c r="O39" s="190"/>
      <c r="P39" s="190"/>
      <c r="Q39" s="190"/>
      <c r="R39" s="190"/>
      <c r="S39" s="190"/>
      <c r="T39" s="190"/>
      <c r="U39" s="190"/>
      <c r="V39" s="190"/>
      <c r="W39" s="190"/>
      <c r="X39" s="190"/>
      <c r="Y39" s="190"/>
      <c r="Z39" s="190"/>
    </row>
    <row r="40">
      <c r="A40" s="190"/>
      <c r="B40" s="301" t="s">
        <v>844</v>
      </c>
      <c r="J40" s="190"/>
      <c r="K40" s="190"/>
      <c r="L40" s="190"/>
      <c r="M40" s="190"/>
      <c r="N40" s="190"/>
      <c r="O40" s="190"/>
      <c r="P40" s="190"/>
      <c r="Q40" s="190"/>
      <c r="R40" s="190"/>
      <c r="S40" s="190"/>
      <c r="T40" s="190"/>
      <c r="U40" s="190"/>
      <c r="V40" s="190"/>
      <c r="W40" s="190"/>
      <c r="X40" s="190"/>
      <c r="Y40" s="190"/>
      <c r="Z40" s="190"/>
    </row>
    <row r="41">
      <c r="A41" s="190"/>
      <c r="B41" s="297"/>
      <c r="C41" s="297"/>
      <c r="D41" s="297"/>
      <c r="E41" s="297"/>
      <c r="F41" s="297"/>
      <c r="G41" s="297"/>
      <c r="H41" s="297"/>
      <c r="I41" s="297"/>
      <c r="J41" s="190"/>
      <c r="K41" s="190"/>
      <c r="L41" s="190"/>
      <c r="M41" s="190"/>
      <c r="N41" s="190"/>
      <c r="O41" s="190"/>
      <c r="P41" s="190"/>
      <c r="Q41" s="190"/>
      <c r="R41" s="190"/>
      <c r="S41" s="190"/>
      <c r="T41" s="190"/>
      <c r="U41" s="190"/>
      <c r="V41" s="190"/>
      <c r="W41" s="190"/>
      <c r="X41" s="190"/>
      <c r="Y41" s="190"/>
      <c r="Z41" s="190"/>
    </row>
    <row r="42">
      <c r="A42" s="190"/>
      <c r="B42" s="296" t="s">
        <v>845</v>
      </c>
      <c r="J42" s="190"/>
      <c r="K42" s="190"/>
      <c r="L42" s="190"/>
      <c r="M42" s="190"/>
      <c r="N42" s="190"/>
      <c r="O42" s="190"/>
      <c r="P42" s="190"/>
      <c r="Q42" s="190"/>
      <c r="R42" s="190"/>
      <c r="S42" s="190"/>
      <c r="T42" s="190"/>
      <c r="U42" s="190"/>
      <c r="V42" s="190"/>
      <c r="W42" s="190"/>
      <c r="X42" s="190"/>
      <c r="Y42" s="190"/>
      <c r="Z42" s="190"/>
    </row>
    <row r="43">
      <c r="A43" s="190"/>
      <c r="B43" s="301" t="str">
        <f>"Werknemers van "&amp;FillIn!D32&amp;" hebben recht op "&amp;FillIn!D33&amp;" vakantiedagen per kalenderjaar ("&amp;VALUE(LEFT(FillIn!D33,2))-4&amp;" wettelijke en 4 dagen bovenwettelijke) met behoud van salaris."</f>
        <v>Werknemers van 45 t/m 49 jaar hebben recht op 25 dagen vakantiedagen per kalenderjaar (21 wettelijke en 4 dagen bovenwettelijke) met behoud van salaris.</v>
      </c>
      <c r="J43" s="190"/>
      <c r="K43" s="190"/>
      <c r="L43" s="190"/>
      <c r="M43" s="190"/>
      <c r="N43" s="190"/>
      <c r="O43" s="190"/>
      <c r="P43" s="190"/>
      <c r="Q43" s="190"/>
      <c r="R43" s="190"/>
      <c r="S43" s="190"/>
      <c r="T43" s="302"/>
      <c r="U43" s="190"/>
      <c r="V43" s="190"/>
      <c r="W43" s="190"/>
      <c r="X43" s="190"/>
      <c r="Y43" s="190"/>
      <c r="Z43" s="190"/>
    </row>
    <row r="44">
      <c r="A44" s="190"/>
      <c r="B44" s="138" t="s">
        <v>846</v>
      </c>
      <c r="J44" s="190"/>
      <c r="K44" s="190"/>
      <c r="L44" s="190"/>
      <c r="M44" s="190"/>
      <c r="N44" s="190"/>
      <c r="O44" s="190"/>
      <c r="P44" s="190"/>
      <c r="Q44" s="190"/>
      <c r="R44" s="190"/>
      <c r="S44" s="190"/>
      <c r="T44" s="190"/>
      <c r="U44" s="190"/>
      <c r="V44" s="190"/>
      <c r="W44" s="190"/>
      <c r="X44" s="190"/>
      <c r="Y44" s="190"/>
      <c r="Z44" s="190"/>
    </row>
    <row r="45">
      <c r="A45" s="190"/>
      <c r="B45" s="138" t="str">
        <f>"Werknemer heeft recht op "&amp;FillIn!D34&amp;" ATV dagen per kalenderjaar met behoud van salaris. Per jaar heeft de werknemer recht op een vakantiebijslag van "&amp;TEXT(FillIn!D35,"0.00%")&amp;" over het op jaarbasis berekende brutosalaris."</f>
        <v>Werknemer heeft recht op 3,5 ATV dagen per kalenderjaar met behoud van salaris. Per jaar heeft de werknemer recht op een vakantiebijslag van 8,00% over het op jaarbasis berekende brutosalaris.</v>
      </c>
      <c r="J45" s="190"/>
      <c r="K45" s="190"/>
      <c r="L45" s="190"/>
      <c r="M45" s="190"/>
      <c r="N45" s="190"/>
      <c r="O45" s="190"/>
      <c r="P45" s="190"/>
      <c r="Q45" s="190"/>
      <c r="R45" s="190"/>
      <c r="S45" s="190"/>
      <c r="T45" s="190"/>
      <c r="U45" s="190"/>
      <c r="V45" s="190"/>
      <c r="W45" s="190"/>
      <c r="X45" s="190"/>
      <c r="Y45" s="190"/>
      <c r="Z45" s="190"/>
    </row>
    <row r="46">
      <c r="A46" s="190"/>
      <c r="B46" s="138" t="str">
        <f>"Werknemer ontvangt in de maanden mei en november de vakantiebijslag van "&amp;TEXT(FillIn!D35,"0.00%")&amp;" naar ratio tezamen met de maandelijkse salaris. Bij tussentijdse aanvang of beëindiging van het dienstverband worden de vakantie­rechten naar rato van het aantal maanden dat werknemer in dienst is, vastgesteld."</f>
        <v>Werknemer ontvangt in de maanden mei en november de vakantiebijslag van 8,00% naar ratio tezamen met de maandelijkse salaris. Bij tussentijdse aanvang of beëindiging van het dienstverband worden de vakantie­rechten naar rato van het aantal maanden dat werknemer in dienst is, vastgesteld.</v>
      </c>
      <c r="J46" s="190"/>
      <c r="K46" s="190"/>
      <c r="L46" s="190"/>
      <c r="M46" s="190"/>
      <c r="N46" s="190"/>
      <c r="O46" s="190"/>
      <c r="P46" s="190"/>
      <c r="Q46" s="190"/>
      <c r="R46" s="190"/>
      <c r="S46" s="190"/>
      <c r="T46" s="190"/>
      <c r="U46" s="190"/>
      <c r="V46" s="190"/>
      <c r="W46" s="190"/>
      <c r="X46" s="190"/>
      <c r="Y46" s="190"/>
      <c r="Z46" s="190"/>
    </row>
    <row r="47">
      <c r="A47" s="190"/>
      <c r="B47" s="297"/>
      <c r="C47" s="297"/>
      <c r="D47" s="297"/>
      <c r="E47" s="297"/>
      <c r="F47" s="297"/>
      <c r="G47" s="297"/>
      <c r="H47" s="297"/>
      <c r="I47" s="297"/>
      <c r="J47" s="190"/>
      <c r="K47" s="190"/>
      <c r="L47" s="190"/>
      <c r="M47" s="190"/>
      <c r="N47" s="190"/>
      <c r="O47" s="190"/>
      <c r="P47" s="190"/>
      <c r="Q47" s="190"/>
      <c r="R47" s="190"/>
      <c r="S47" s="190"/>
      <c r="T47" s="190"/>
      <c r="U47" s="190"/>
      <c r="V47" s="190"/>
      <c r="W47" s="190"/>
      <c r="X47" s="190"/>
      <c r="Y47" s="190"/>
      <c r="Z47" s="190"/>
    </row>
    <row r="48">
      <c r="A48" s="190"/>
      <c r="B48" s="300" t="s">
        <v>847</v>
      </c>
      <c r="E48" s="297"/>
      <c r="F48" s="297"/>
      <c r="G48" s="297"/>
      <c r="H48" s="297"/>
      <c r="I48" s="297"/>
      <c r="J48" s="190"/>
      <c r="K48" s="190"/>
      <c r="L48" s="190"/>
      <c r="M48" s="190"/>
      <c r="N48" s="190"/>
      <c r="O48" s="190"/>
      <c r="P48" s="190"/>
      <c r="Q48" s="190"/>
      <c r="R48" s="190"/>
      <c r="S48" s="190"/>
      <c r="T48" s="190"/>
      <c r="U48" s="190"/>
      <c r="V48" s="190"/>
      <c r="W48" s="190"/>
      <c r="X48" s="190"/>
      <c r="Y48" s="190"/>
      <c r="Z48" s="190"/>
    </row>
    <row r="49">
      <c r="A49" s="190"/>
      <c r="B49" s="301" t="s">
        <v>848</v>
      </c>
      <c r="J49" s="190"/>
      <c r="K49" s="190"/>
      <c r="L49" s="190"/>
      <c r="M49" s="190"/>
      <c r="N49" s="190"/>
      <c r="O49" s="190"/>
      <c r="P49" s="190"/>
      <c r="Q49" s="190"/>
      <c r="R49" s="190"/>
      <c r="S49" s="190"/>
      <c r="T49" s="190"/>
      <c r="U49" s="190"/>
      <c r="V49" s="190"/>
      <c r="W49" s="190"/>
      <c r="X49" s="190"/>
      <c r="Y49" s="190"/>
      <c r="Z49" s="190"/>
    </row>
    <row r="50">
      <c r="A50" s="190"/>
      <c r="B50" s="297"/>
      <c r="C50" s="297"/>
      <c r="D50" s="297"/>
      <c r="E50" s="297"/>
      <c r="F50" s="297"/>
      <c r="G50" s="297"/>
      <c r="H50" s="297"/>
      <c r="I50" s="297"/>
      <c r="J50" s="190"/>
      <c r="K50" s="190"/>
      <c r="L50" s="190"/>
      <c r="M50" s="190"/>
      <c r="N50" s="190"/>
      <c r="O50" s="190"/>
      <c r="P50" s="190"/>
      <c r="Q50" s="190"/>
      <c r="R50" s="190"/>
      <c r="S50" s="190"/>
      <c r="T50" s="190"/>
      <c r="U50" s="190"/>
      <c r="V50" s="190"/>
      <c r="W50" s="190"/>
      <c r="X50" s="190"/>
      <c r="Y50" s="190"/>
      <c r="Z50" s="190"/>
    </row>
    <row r="51">
      <c r="A51" s="190"/>
      <c r="B51" s="300" t="s">
        <v>849</v>
      </c>
      <c r="J51" s="190"/>
      <c r="K51" s="190"/>
      <c r="L51" s="190"/>
      <c r="M51" s="190"/>
      <c r="N51" s="190"/>
      <c r="O51" s="190"/>
      <c r="P51" s="190"/>
      <c r="Q51" s="190"/>
      <c r="R51" s="190"/>
      <c r="S51" s="190"/>
      <c r="T51" s="190"/>
      <c r="U51" s="190"/>
      <c r="V51" s="190"/>
      <c r="W51" s="190"/>
      <c r="X51" s="190"/>
      <c r="Y51" s="190"/>
      <c r="Z51" s="190"/>
    </row>
    <row r="52">
      <c r="A52" s="190"/>
      <c r="B52" s="301" t="s">
        <v>850</v>
      </c>
      <c r="J52" s="190"/>
      <c r="K52" s="190"/>
      <c r="L52" s="190"/>
      <c r="M52" s="190"/>
      <c r="N52" s="190"/>
      <c r="O52" s="190"/>
      <c r="P52" s="190"/>
      <c r="Q52" s="190"/>
      <c r="R52" s="190"/>
      <c r="S52" s="190"/>
      <c r="T52" s="190"/>
      <c r="U52" s="190"/>
      <c r="V52" s="190"/>
      <c r="W52" s="190"/>
      <c r="X52" s="190"/>
      <c r="Y52" s="190"/>
      <c r="Z52" s="190"/>
    </row>
    <row r="53">
      <c r="A53" s="190"/>
      <c r="B53" s="297"/>
      <c r="C53" s="297"/>
      <c r="D53" s="297"/>
      <c r="E53" s="297"/>
      <c r="F53" s="297"/>
      <c r="G53" s="297"/>
      <c r="H53" s="297"/>
      <c r="I53" s="297"/>
      <c r="J53" s="190"/>
      <c r="K53" s="190"/>
      <c r="L53" s="190"/>
      <c r="M53" s="190"/>
      <c r="N53" s="190"/>
      <c r="O53" s="190"/>
      <c r="P53" s="190"/>
      <c r="Q53" s="190"/>
      <c r="R53" s="190"/>
      <c r="S53" s="190"/>
      <c r="T53" s="190"/>
      <c r="U53" s="190"/>
      <c r="V53" s="190"/>
      <c r="W53" s="190"/>
      <c r="X53" s="190"/>
      <c r="Y53" s="190"/>
      <c r="Z53" s="190"/>
    </row>
    <row r="54">
      <c r="A54" s="190"/>
      <c r="B54" s="300" t="s">
        <v>851</v>
      </c>
      <c r="J54" s="190"/>
      <c r="K54" s="190"/>
      <c r="L54" s="190"/>
      <c r="M54" s="190"/>
      <c r="N54" s="190"/>
      <c r="O54" s="190"/>
      <c r="P54" s="190"/>
      <c r="Q54" s="190"/>
      <c r="R54" s="190"/>
      <c r="S54" s="190"/>
      <c r="T54" s="190"/>
      <c r="U54" s="190"/>
      <c r="V54" s="190"/>
      <c r="W54" s="190"/>
      <c r="X54" s="190"/>
      <c r="Y54" s="190"/>
      <c r="Z54" s="190"/>
    </row>
    <row r="55">
      <c r="A55" s="190"/>
      <c r="B55" s="303" t="s">
        <v>852</v>
      </c>
      <c r="J55" s="190"/>
      <c r="K55" s="190"/>
      <c r="L55" s="190"/>
      <c r="M55" s="190"/>
      <c r="N55" s="190"/>
      <c r="O55" s="190"/>
      <c r="P55" s="190"/>
      <c r="Q55" s="190"/>
      <c r="R55" s="190"/>
      <c r="S55" s="190"/>
      <c r="T55" s="190"/>
      <c r="U55" s="190"/>
      <c r="V55" s="190"/>
      <c r="W55" s="190"/>
      <c r="X55" s="190"/>
      <c r="Y55" s="190"/>
      <c r="Z55" s="190"/>
    </row>
    <row r="56">
      <c r="A56" s="190"/>
      <c r="B56" s="304"/>
      <c r="C56" s="297"/>
      <c r="D56" s="297"/>
      <c r="E56" s="297"/>
      <c r="F56" s="297"/>
      <c r="G56" s="297"/>
      <c r="H56" s="297"/>
      <c r="I56" s="297"/>
      <c r="J56" s="190"/>
      <c r="K56" s="190"/>
      <c r="L56" s="190"/>
      <c r="M56" s="190"/>
      <c r="N56" s="190"/>
      <c r="O56" s="190"/>
      <c r="P56" s="190"/>
      <c r="Q56" s="190"/>
      <c r="R56" s="190"/>
      <c r="S56" s="190"/>
      <c r="T56" s="190"/>
      <c r="U56" s="190"/>
      <c r="V56" s="190"/>
      <c r="W56" s="190"/>
      <c r="X56" s="190"/>
      <c r="Y56" s="190"/>
      <c r="Z56" s="190"/>
    </row>
    <row r="57">
      <c r="A57" s="190"/>
      <c r="B57" s="300" t="s">
        <v>853</v>
      </c>
      <c r="E57" s="297"/>
      <c r="F57" s="297"/>
      <c r="G57" s="297"/>
      <c r="H57" s="297"/>
      <c r="I57" s="297"/>
      <c r="J57" s="190"/>
      <c r="K57" s="190"/>
      <c r="L57" s="190"/>
      <c r="M57" s="190"/>
      <c r="N57" s="190"/>
      <c r="O57" s="190"/>
      <c r="P57" s="190"/>
      <c r="Q57" s="190"/>
      <c r="R57" s="190"/>
      <c r="S57" s="190"/>
      <c r="T57" s="190"/>
      <c r="U57" s="190"/>
      <c r="V57" s="190"/>
      <c r="W57" s="190"/>
      <c r="X57" s="190"/>
      <c r="Y57" s="190"/>
      <c r="Z57" s="190"/>
    </row>
    <row r="58">
      <c r="A58" s="190"/>
      <c r="B58" s="303" t="s">
        <v>854</v>
      </c>
      <c r="J58" s="190"/>
      <c r="K58" s="190"/>
      <c r="L58" s="190"/>
      <c r="M58" s="190"/>
      <c r="N58" s="190"/>
      <c r="O58" s="190"/>
      <c r="P58" s="190"/>
      <c r="Q58" s="190"/>
      <c r="R58" s="190"/>
      <c r="S58" s="190"/>
      <c r="T58" s="190"/>
      <c r="U58" s="190"/>
      <c r="V58" s="190"/>
      <c r="W58" s="190"/>
      <c r="X58" s="190"/>
      <c r="Y58" s="190"/>
      <c r="Z58" s="190"/>
    </row>
    <row r="59">
      <c r="A59" s="190"/>
      <c r="B59" s="305"/>
      <c r="C59" s="297"/>
      <c r="D59" s="297"/>
      <c r="E59" s="297"/>
      <c r="F59" s="297"/>
      <c r="G59" s="297"/>
      <c r="H59" s="297"/>
      <c r="I59" s="297"/>
      <c r="J59" s="190"/>
      <c r="K59" s="190"/>
      <c r="L59" s="190"/>
      <c r="M59" s="190"/>
      <c r="N59" s="190"/>
      <c r="O59" s="190"/>
      <c r="P59" s="190"/>
      <c r="Q59" s="190"/>
      <c r="R59" s="190"/>
      <c r="S59" s="190"/>
      <c r="T59" s="190"/>
      <c r="U59" s="190"/>
      <c r="V59" s="190"/>
      <c r="W59" s="190"/>
      <c r="X59" s="190"/>
      <c r="Y59" s="190"/>
      <c r="Z59" s="190"/>
    </row>
    <row r="60">
      <c r="A60" s="190"/>
      <c r="B60" s="300" t="s">
        <v>855</v>
      </c>
      <c r="E60" s="297"/>
      <c r="F60" s="297"/>
      <c r="G60" s="297"/>
      <c r="H60" s="297"/>
      <c r="I60" s="297"/>
      <c r="J60" s="190"/>
      <c r="K60" s="190"/>
      <c r="L60" s="190"/>
      <c r="M60" s="190"/>
      <c r="N60" s="190"/>
      <c r="O60" s="190"/>
      <c r="P60" s="190"/>
      <c r="Q60" s="190"/>
      <c r="R60" s="190"/>
      <c r="S60" s="190"/>
      <c r="T60" s="190"/>
      <c r="U60" s="190"/>
      <c r="V60" s="190"/>
      <c r="W60" s="190"/>
      <c r="X60" s="190"/>
      <c r="Y60" s="190"/>
      <c r="Z60" s="190"/>
    </row>
    <row r="61">
      <c r="A61" s="190"/>
      <c r="B61" s="303" t="s">
        <v>856</v>
      </c>
      <c r="J61" s="190"/>
      <c r="K61" s="190"/>
      <c r="L61" s="190"/>
      <c r="M61" s="190"/>
      <c r="N61" s="190"/>
      <c r="O61" s="190"/>
      <c r="P61" s="190"/>
      <c r="Q61" s="190"/>
      <c r="R61" s="190"/>
      <c r="S61" s="190"/>
      <c r="T61" s="190"/>
      <c r="U61" s="190"/>
      <c r="V61" s="190"/>
      <c r="W61" s="190"/>
      <c r="X61" s="190"/>
      <c r="Y61" s="190"/>
      <c r="Z61" s="190"/>
    </row>
    <row r="62">
      <c r="A62" s="190"/>
      <c r="B62" s="304"/>
      <c r="C62" s="297"/>
      <c r="D62" s="297"/>
      <c r="E62" s="297"/>
      <c r="F62" s="297"/>
      <c r="G62" s="297"/>
      <c r="H62" s="297"/>
      <c r="I62" s="297"/>
      <c r="J62" s="190"/>
      <c r="K62" s="190"/>
      <c r="L62" s="190"/>
      <c r="M62" s="190"/>
      <c r="N62" s="190"/>
      <c r="O62" s="190"/>
      <c r="P62" s="190"/>
      <c r="Q62" s="190"/>
      <c r="R62" s="190"/>
      <c r="S62" s="190"/>
      <c r="T62" s="190"/>
      <c r="U62" s="190"/>
      <c r="V62" s="190"/>
      <c r="W62" s="190"/>
      <c r="X62" s="190"/>
      <c r="Y62" s="190"/>
      <c r="Z62" s="190"/>
    </row>
    <row r="63">
      <c r="A63" s="190"/>
      <c r="B63" s="300" t="s">
        <v>857</v>
      </c>
      <c r="H63" s="297"/>
      <c r="I63" s="297"/>
      <c r="J63" s="190"/>
      <c r="K63" s="190"/>
      <c r="L63" s="190"/>
      <c r="M63" s="190"/>
      <c r="N63" s="190"/>
      <c r="O63" s="190"/>
      <c r="P63" s="190"/>
      <c r="Q63" s="190"/>
      <c r="R63" s="190"/>
      <c r="S63" s="190"/>
      <c r="T63" s="190"/>
      <c r="U63" s="190"/>
      <c r="V63" s="190"/>
      <c r="W63" s="190"/>
      <c r="X63" s="190"/>
      <c r="Y63" s="190"/>
      <c r="Z63" s="190"/>
    </row>
    <row r="64">
      <c r="A64" s="190"/>
      <c r="B64" s="301" t="s">
        <v>858</v>
      </c>
      <c r="J64" s="190"/>
      <c r="K64" s="190"/>
      <c r="L64" s="190"/>
      <c r="M64" s="190"/>
      <c r="N64" s="190"/>
      <c r="O64" s="190"/>
      <c r="P64" s="190"/>
      <c r="Q64" s="190"/>
      <c r="R64" s="190"/>
      <c r="S64" s="190"/>
      <c r="T64" s="190"/>
      <c r="U64" s="190"/>
      <c r="V64" s="190"/>
      <c r="W64" s="190"/>
      <c r="X64" s="190"/>
      <c r="Y64" s="190"/>
      <c r="Z64" s="190"/>
    </row>
    <row r="65">
      <c r="A65" s="190"/>
      <c r="B65" s="297"/>
      <c r="C65" s="297"/>
      <c r="D65" s="297"/>
      <c r="E65" s="297"/>
      <c r="F65" s="297"/>
      <c r="G65" s="297"/>
      <c r="H65" s="297"/>
      <c r="I65" s="297"/>
      <c r="J65" s="190"/>
      <c r="K65" s="190"/>
      <c r="L65" s="190"/>
      <c r="M65" s="190"/>
      <c r="N65" s="190"/>
      <c r="O65" s="190"/>
      <c r="P65" s="190"/>
      <c r="Q65" s="190"/>
      <c r="R65" s="190"/>
      <c r="S65" s="190"/>
      <c r="T65" s="190"/>
      <c r="U65" s="190"/>
      <c r="V65" s="190"/>
      <c r="W65" s="190"/>
      <c r="X65" s="190"/>
      <c r="Y65" s="190"/>
      <c r="Z65" s="190"/>
    </row>
    <row r="66">
      <c r="A66" s="190"/>
      <c r="B66" s="300" t="s">
        <v>859</v>
      </c>
      <c r="J66" s="190"/>
      <c r="K66" s="190"/>
      <c r="L66" s="190"/>
      <c r="M66" s="190"/>
      <c r="N66" s="190"/>
      <c r="O66" s="190"/>
      <c r="P66" s="190"/>
      <c r="Q66" s="190"/>
      <c r="R66" s="190"/>
      <c r="S66" s="190"/>
      <c r="T66" s="190"/>
      <c r="U66" s="190"/>
      <c r="V66" s="190"/>
      <c r="W66" s="190"/>
      <c r="X66" s="190"/>
      <c r="Y66" s="190"/>
      <c r="Z66" s="190"/>
    </row>
    <row r="67">
      <c r="A67" s="190"/>
      <c r="B67" s="303" t="s">
        <v>860</v>
      </c>
      <c r="J67" s="190"/>
      <c r="K67" s="190"/>
      <c r="L67" s="190"/>
      <c r="M67" s="190"/>
      <c r="N67" s="190"/>
      <c r="O67" s="190"/>
      <c r="P67" s="190"/>
      <c r="Q67" s="190"/>
      <c r="R67" s="190"/>
      <c r="S67" s="190"/>
      <c r="T67" s="190"/>
      <c r="U67" s="190"/>
      <c r="V67" s="190"/>
      <c r="W67" s="190"/>
      <c r="X67" s="190"/>
      <c r="Y67" s="190"/>
      <c r="Z67" s="190"/>
    </row>
    <row r="68">
      <c r="A68" s="190"/>
      <c r="B68" s="297"/>
      <c r="C68" s="297"/>
      <c r="D68" s="297"/>
      <c r="E68" s="297"/>
      <c r="F68" s="297"/>
      <c r="G68" s="297"/>
      <c r="H68" s="297"/>
      <c r="I68" s="297"/>
      <c r="J68" s="190"/>
      <c r="K68" s="190"/>
      <c r="L68" s="190"/>
      <c r="M68" s="190"/>
      <c r="N68" s="190"/>
      <c r="O68" s="190"/>
      <c r="P68" s="190"/>
      <c r="Q68" s="190"/>
      <c r="R68" s="190"/>
      <c r="S68" s="190"/>
      <c r="T68" s="190"/>
      <c r="U68" s="190"/>
      <c r="V68" s="190"/>
      <c r="W68" s="190"/>
      <c r="X68" s="190"/>
      <c r="Y68" s="190"/>
      <c r="Z68" s="190"/>
    </row>
    <row r="69">
      <c r="A69" s="190"/>
      <c r="B69" s="301" t="str">
        <f>"Werknemer verklaart een getekend exemplaar van dit contract en een geparafeerde exemplaar de arbeids- en bedrijfsregels te hebben ont­vangen. "</f>
        <v>Werknemer verklaart een getekend exemplaar van dit contract en een geparafeerde exemplaar de arbeids- en bedrijfsregels te hebben ont­vangen. </v>
      </c>
      <c r="J69" s="190"/>
      <c r="K69" s="190"/>
      <c r="L69" s="190"/>
      <c r="M69" s="190"/>
      <c r="N69" s="190"/>
      <c r="O69" s="190"/>
      <c r="P69" s="190"/>
      <c r="Q69" s="190"/>
      <c r="R69" s="190"/>
      <c r="S69" s="190"/>
      <c r="T69" s="190"/>
      <c r="U69" s="190"/>
      <c r="V69" s="190"/>
      <c r="W69" s="190"/>
      <c r="X69" s="190"/>
      <c r="Y69" s="190"/>
      <c r="Z69" s="190"/>
    </row>
    <row r="70">
      <c r="A70" s="190"/>
      <c r="B70" s="295"/>
      <c r="C70" s="295"/>
      <c r="D70" s="295"/>
      <c r="E70" s="295"/>
      <c r="F70" s="295"/>
      <c r="G70" s="295"/>
      <c r="H70" s="295"/>
      <c r="I70" s="295"/>
      <c r="J70" s="190"/>
      <c r="K70" s="190"/>
      <c r="L70" s="190"/>
      <c r="M70" s="190"/>
      <c r="N70" s="190"/>
      <c r="O70" s="190"/>
      <c r="P70" s="190"/>
      <c r="Q70" s="190"/>
      <c r="R70" s="190"/>
      <c r="S70" s="190"/>
      <c r="T70" s="190"/>
      <c r="U70" s="190"/>
      <c r="V70" s="190"/>
      <c r="W70" s="190"/>
      <c r="X70" s="190"/>
      <c r="Y70" s="190"/>
      <c r="Z70" s="190"/>
    </row>
    <row r="71">
      <c r="A71" s="190"/>
      <c r="B71" s="202" t="str">
        <f>"Aldus overeengekomen en in tweevoud getekend te "&amp;FillIn!H8&amp;" op "&amp;TEXT(FillIn!D52,"dd mmmm yyyy")&amp;"."</f>
        <v>Aldus overeengekomen en in tweevoud getekend te Barendrecht op 17 november 2025.</v>
      </c>
      <c r="C71" s="295"/>
      <c r="D71" s="295"/>
      <c r="E71" s="295"/>
      <c r="F71" s="295"/>
      <c r="G71" s="295"/>
      <c r="H71" s="295"/>
      <c r="I71" s="295"/>
      <c r="J71" s="190"/>
      <c r="K71" s="190"/>
      <c r="L71" s="190"/>
      <c r="M71" s="190"/>
      <c r="N71" s="190"/>
      <c r="O71" s="190"/>
      <c r="P71" s="190"/>
      <c r="Q71" s="190"/>
      <c r="R71" s="190"/>
      <c r="S71" s="190"/>
      <c r="T71" s="190"/>
      <c r="U71" s="190"/>
      <c r="V71" s="190"/>
      <c r="W71" s="190"/>
      <c r="X71" s="190"/>
      <c r="Y71" s="190"/>
      <c r="Z71" s="190"/>
    </row>
    <row r="72">
      <c r="A72" s="190"/>
      <c r="B72" s="294"/>
      <c r="C72" s="294"/>
      <c r="D72" s="294"/>
      <c r="E72" s="294"/>
      <c r="F72" s="294"/>
      <c r="G72" s="294"/>
      <c r="H72" s="294"/>
      <c r="I72" s="294"/>
      <c r="J72" s="190"/>
      <c r="K72" s="190"/>
      <c r="L72" s="190"/>
      <c r="M72" s="190"/>
      <c r="N72" s="190"/>
      <c r="O72" s="190"/>
      <c r="P72" s="190"/>
      <c r="Q72" s="190"/>
      <c r="R72" s="190"/>
      <c r="S72" s="190"/>
      <c r="T72" s="190"/>
      <c r="U72" s="190"/>
      <c r="V72" s="190"/>
      <c r="W72" s="190"/>
      <c r="X72" s="190"/>
      <c r="Y72" s="190"/>
      <c r="Z72" s="190"/>
    </row>
    <row r="73">
      <c r="A73" s="190"/>
      <c r="B73" s="254" t="str">
        <f>"Werkgever: "&amp;FillIn!H4</f>
        <v>Werkgever: DeNeX Uitzendbureau B.V.</v>
      </c>
      <c r="E73" s="268"/>
      <c r="F73" s="254" t="str">
        <f>"Werknemer: "&amp;FillIn!M4</f>
        <v>Werknemer: de heer G. Aslan</v>
      </c>
      <c r="G73" s="254"/>
      <c r="H73" s="268"/>
      <c r="I73" s="148"/>
      <c r="J73" s="190"/>
      <c r="K73" s="190"/>
      <c r="L73" s="190"/>
      <c r="M73" s="190"/>
      <c r="N73" s="190"/>
      <c r="O73" s="190"/>
      <c r="P73" s="190"/>
      <c r="Q73" s="190"/>
      <c r="R73" s="190"/>
      <c r="S73" s="190"/>
      <c r="T73" s="190"/>
      <c r="U73" s="190"/>
      <c r="V73" s="190"/>
      <c r="W73" s="190"/>
      <c r="X73" s="190"/>
      <c r="Y73" s="190"/>
      <c r="Z73" s="190"/>
    </row>
    <row r="74">
      <c r="A74" s="190"/>
      <c r="B74" s="254" t="str">
        <f>"Namens deze: "&amp;FillIn!M5</f>
        <v>Namens deze: de heer D.O. Ibryam</v>
      </c>
      <c r="E74" s="268"/>
      <c r="F74" s="254"/>
      <c r="I74" s="295"/>
      <c r="J74" s="190"/>
      <c r="K74" s="190"/>
      <c r="L74" s="190"/>
      <c r="M74" s="190"/>
      <c r="N74" s="190"/>
      <c r="O74" s="190"/>
      <c r="P74" s="190"/>
      <c r="Q74" s="190"/>
      <c r="R74" s="190"/>
      <c r="S74" s="190"/>
      <c r="T74" s="190"/>
      <c r="U74" s="190"/>
      <c r="V74" s="190"/>
      <c r="W74" s="190"/>
      <c r="X74" s="190"/>
      <c r="Y74" s="190"/>
      <c r="Z74" s="190"/>
    </row>
    <row r="75">
      <c r="A75" s="190"/>
      <c r="B75" s="268"/>
      <c r="C75" s="268"/>
      <c r="D75" s="268"/>
      <c r="E75" s="268"/>
      <c r="F75" s="268"/>
      <c r="G75" s="268"/>
      <c r="H75" s="268"/>
      <c r="I75" s="294"/>
      <c r="J75" s="190"/>
      <c r="K75" s="190"/>
      <c r="L75" s="190"/>
      <c r="M75" s="190"/>
      <c r="N75" s="190"/>
      <c r="O75" s="190"/>
      <c r="P75" s="190"/>
      <c r="Q75" s="190"/>
      <c r="R75" s="190"/>
      <c r="S75" s="190"/>
      <c r="T75" s="190"/>
      <c r="U75" s="190"/>
      <c r="V75" s="190"/>
      <c r="W75" s="190"/>
      <c r="X75" s="190"/>
      <c r="Y75" s="190"/>
      <c r="Z75" s="190"/>
    </row>
    <row r="76">
      <c r="A76" s="190"/>
      <c r="B76" s="268"/>
      <c r="C76" s="268"/>
      <c r="D76" s="268"/>
      <c r="E76" s="268"/>
      <c r="F76" s="268"/>
      <c r="G76" s="268"/>
      <c r="H76" s="268"/>
      <c r="I76" s="295"/>
      <c r="J76" s="190"/>
      <c r="K76" s="190"/>
      <c r="L76" s="190"/>
      <c r="M76" s="190"/>
      <c r="N76" s="190"/>
      <c r="O76" s="190"/>
      <c r="P76" s="190"/>
      <c r="Q76" s="190"/>
      <c r="R76" s="190"/>
      <c r="S76" s="190"/>
      <c r="T76" s="190"/>
      <c r="U76" s="190"/>
      <c r="V76" s="190"/>
      <c r="W76" s="190"/>
      <c r="X76" s="190"/>
      <c r="Y76" s="190"/>
      <c r="Z76" s="190"/>
    </row>
    <row r="77">
      <c r="A77" s="190"/>
      <c r="B77" s="268"/>
      <c r="C77" s="268"/>
      <c r="D77" s="268"/>
      <c r="E77" s="268"/>
      <c r="F77" s="268"/>
      <c r="G77" s="268"/>
      <c r="H77" s="268"/>
      <c r="I77" s="294"/>
      <c r="J77" s="190"/>
      <c r="K77" s="190"/>
      <c r="L77" s="190"/>
      <c r="M77" s="190"/>
      <c r="N77" s="190"/>
      <c r="O77" s="190"/>
      <c r="P77" s="190"/>
      <c r="Q77" s="190"/>
      <c r="R77" s="190"/>
      <c r="S77" s="190"/>
      <c r="T77" s="190"/>
      <c r="U77" s="190"/>
      <c r="V77" s="190"/>
      <c r="W77" s="190"/>
      <c r="X77" s="190"/>
      <c r="Y77" s="190"/>
      <c r="Z77" s="190"/>
    </row>
    <row r="78">
      <c r="A78" s="190"/>
      <c r="B78" s="268"/>
      <c r="C78" s="268"/>
      <c r="D78" s="268"/>
      <c r="E78" s="268"/>
      <c r="F78" s="268"/>
      <c r="G78" s="268"/>
      <c r="H78" s="268"/>
      <c r="I78" s="144"/>
      <c r="J78" s="190"/>
      <c r="K78" s="190"/>
      <c r="L78" s="190"/>
      <c r="M78" s="190"/>
      <c r="N78" s="190"/>
      <c r="O78" s="190"/>
      <c r="P78" s="190"/>
      <c r="Q78" s="190"/>
      <c r="R78" s="190"/>
      <c r="S78" s="190"/>
      <c r="T78" s="190"/>
      <c r="U78" s="190"/>
      <c r="V78" s="190"/>
      <c r="W78" s="190"/>
      <c r="X78" s="190"/>
      <c r="Y78" s="190"/>
      <c r="Z78" s="190"/>
    </row>
    <row r="79">
      <c r="A79" s="190"/>
      <c r="B79" s="268"/>
      <c r="C79" s="268"/>
      <c r="D79" s="268"/>
      <c r="E79" s="268"/>
      <c r="F79" s="268"/>
      <c r="G79" s="268"/>
      <c r="H79" s="268"/>
      <c r="I79" s="150"/>
      <c r="J79" s="190"/>
      <c r="K79" s="190"/>
      <c r="L79" s="190"/>
      <c r="M79" s="190"/>
      <c r="N79" s="190"/>
      <c r="O79" s="190"/>
      <c r="P79" s="190"/>
      <c r="Q79" s="190"/>
      <c r="R79" s="190"/>
      <c r="S79" s="190"/>
      <c r="T79" s="190"/>
      <c r="U79" s="190"/>
      <c r="V79" s="190"/>
      <c r="W79" s="190"/>
      <c r="X79" s="190"/>
      <c r="Y79" s="190"/>
      <c r="Z79" s="190"/>
    </row>
    <row r="80">
      <c r="A80" s="190"/>
      <c r="B80" s="269" t="s">
        <v>784</v>
      </c>
      <c r="C80" s="270"/>
      <c r="D80" s="270"/>
      <c r="E80" s="268"/>
      <c r="F80" s="269" t="s">
        <v>784</v>
      </c>
      <c r="G80" s="270"/>
      <c r="H80" s="268"/>
      <c r="I80" s="190"/>
      <c r="J80" s="190"/>
      <c r="K80" s="190"/>
      <c r="L80" s="190"/>
      <c r="M80" s="190"/>
      <c r="N80" s="190"/>
      <c r="O80" s="190"/>
      <c r="P80" s="190"/>
      <c r="Q80" s="190"/>
      <c r="R80" s="190"/>
      <c r="S80" s="190"/>
      <c r="T80" s="190"/>
      <c r="U80" s="190"/>
      <c r="V80" s="190"/>
      <c r="W80" s="190"/>
      <c r="X80" s="190"/>
      <c r="Y80" s="190"/>
      <c r="Z80" s="190"/>
    </row>
    <row r="8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sheetData>
  <mergeCells count="47">
    <mergeCell ref="B1:I1"/>
    <mergeCell ref="D6:E6"/>
    <mergeCell ref="B10:D10"/>
    <mergeCell ref="B12:F12"/>
    <mergeCell ref="B13:G13"/>
    <mergeCell ref="B15:F15"/>
    <mergeCell ref="B17:I17"/>
    <mergeCell ref="B20:I20"/>
    <mergeCell ref="B22:I22"/>
    <mergeCell ref="B23:I23"/>
    <mergeCell ref="B24:I24"/>
    <mergeCell ref="B27:I27"/>
    <mergeCell ref="B29:I29"/>
    <mergeCell ref="B30:I30"/>
    <mergeCell ref="B32:I32"/>
    <mergeCell ref="B33:I33"/>
    <mergeCell ref="B34:I34"/>
    <mergeCell ref="B35:I35"/>
    <mergeCell ref="B37:I37"/>
    <mergeCell ref="B38:I38"/>
    <mergeCell ref="B39:I39"/>
    <mergeCell ref="B40:I40"/>
    <mergeCell ref="B42:I42"/>
    <mergeCell ref="B43:I43"/>
    <mergeCell ref="B44:I44"/>
    <mergeCell ref="B45:I45"/>
    <mergeCell ref="B46:I46"/>
    <mergeCell ref="B48:D48"/>
    <mergeCell ref="B49:I49"/>
    <mergeCell ref="B51:I51"/>
    <mergeCell ref="B52:I52"/>
    <mergeCell ref="B54:I54"/>
    <mergeCell ref="B55:I55"/>
    <mergeCell ref="B57:D57"/>
    <mergeCell ref="B58:I58"/>
    <mergeCell ref="B73:D73"/>
    <mergeCell ref="B74:D74"/>
    <mergeCell ref="F74:H74"/>
    <mergeCell ref="B80:D80"/>
    <mergeCell ref="F80:G80"/>
    <mergeCell ref="B60:D60"/>
    <mergeCell ref="B61:I61"/>
    <mergeCell ref="B63:G63"/>
    <mergeCell ref="B64:I64"/>
    <mergeCell ref="B66:I66"/>
    <mergeCell ref="B67:I67"/>
    <mergeCell ref="B69:I69"/>
  </mergeCell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2" max="2" width="11.75"/>
    <col customWidth="1" min="3" max="3" width="1.88"/>
    <col customWidth="1" min="4" max="4" width="16.13"/>
    <col customWidth="1" min="6" max="6" width="2.63"/>
    <col customWidth="1" min="7" max="7" width="14.0"/>
    <col customWidth="1" min="8" max="8" width="1.75"/>
    <col customWidth="1" min="9" max="9" width="23.25"/>
    <col customWidth="1" min="10" max="10" width="2.63"/>
  </cols>
  <sheetData>
    <row r="1">
      <c r="A1" s="190"/>
      <c r="B1" s="306" t="s">
        <v>861</v>
      </c>
      <c r="K1" s="190"/>
      <c r="L1" s="190"/>
      <c r="M1" s="190"/>
      <c r="N1" s="190"/>
      <c r="O1" s="190"/>
      <c r="P1" s="190"/>
      <c r="Q1" s="190"/>
      <c r="R1" s="190"/>
      <c r="S1" s="190"/>
      <c r="T1" s="190"/>
      <c r="U1" s="190"/>
      <c r="V1" s="190"/>
      <c r="W1" s="190"/>
      <c r="X1" s="190"/>
      <c r="Y1" s="190"/>
      <c r="Z1" s="190"/>
    </row>
    <row r="2">
      <c r="A2" s="190"/>
      <c r="B2" s="307"/>
      <c r="C2" s="307"/>
      <c r="D2" s="307"/>
      <c r="E2" s="307"/>
      <c r="F2" s="307"/>
      <c r="G2" s="307"/>
      <c r="H2" s="307"/>
      <c r="I2" s="307"/>
      <c r="J2" s="308"/>
      <c r="K2" s="190"/>
      <c r="L2" s="190"/>
      <c r="M2" s="190"/>
      <c r="N2" s="190"/>
      <c r="O2" s="190"/>
      <c r="P2" s="190"/>
      <c r="Q2" s="190"/>
      <c r="R2" s="190"/>
      <c r="S2" s="190"/>
      <c r="T2" s="190"/>
      <c r="U2" s="190"/>
      <c r="V2" s="190"/>
      <c r="W2" s="190"/>
      <c r="X2" s="190"/>
      <c r="Y2" s="190"/>
      <c r="Z2" s="190"/>
    </row>
    <row r="3">
      <c r="A3" s="190"/>
      <c r="B3" s="309" t="s">
        <v>165</v>
      </c>
      <c r="E3" s="307"/>
      <c r="F3" s="308"/>
      <c r="G3" s="308"/>
      <c r="H3" s="308"/>
      <c r="I3" s="308"/>
      <c r="J3" s="308"/>
      <c r="K3" s="190"/>
      <c r="L3" s="190"/>
      <c r="M3" s="190"/>
      <c r="N3" s="190"/>
      <c r="O3" s="190"/>
      <c r="P3" s="190"/>
      <c r="Q3" s="190"/>
      <c r="R3" s="190"/>
      <c r="S3" s="190"/>
      <c r="T3" s="190"/>
      <c r="U3" s="190"/>
      <c r="V3" s="190"/>
      <c r="W3" s="190"/>
      <c r="X3" s="190"/>
      <c r="Y3" s="190"/>
      <c r="Z3" s="190"/>
    </row>
    <row r="4">
      <c r="A4" s="190"/>
      <c r="B4" s="310" t="s">
        <v>862</v>
      </c>
      <c r="D4" s="307"/>
      <c r="E4" s="308"/>
      <c r="F4" s="308"/>
      <c r="G4" s="307"/>
      <c r="H4" s="308"/>
      <c r="I4" s="308"/>
      <c r="J4" s="308"/>
      <c r="K4" s="190"/>
      <c r="L4" s="190"/>
      <c r="M4" s="190"/>
      <c r="N4" s="190"/>
      <c r="O4" s="190"/>
      <c r="P4" s="190"/>
      <c r="Q4" s="190"/>
      <c r="R4" s="190"/>
      <c r="S4" s="190"/>
      <c r="T4" s="190"/>
      <c r="U4" s="190"/>
      <c r="V4" s="190"/>
      <c r="W4" s="190"/>
      <c r="X4" s="190"/>
      <c r="Y4" s="190"/>
      <c r="Z4" s="190"/>
    </row>
    <row r="5">
      <c r="A5" s="190"/>
      <c r="B5" s="311" t="s">
        <v>691</v>
      </c>
      <c r="C5" s="312" t="str">
        <f>"De uitzendonderneming "&amp;FillIn!H4&amp;" gevestigd te Rijswijk aan de "&amp;FillIn!H6&amp;", "&amp;FillIn!H7&amp;", te "&amp;FillIn!H8&amp;" vertegenwoordigd door "&amp;FillIn!M5&amp;"."</f>
        <v>De uitzendonderneming DeNeX Uitzendbureau B.V. gevestigd te Rijswijk aan de Gebroken Meeldijk 66, Unit 1.15, 2991 VD, te Barendrecht vertegenwoordigd door de heer D.O. Ibryam.</v>
      </c>
      <c r="J5" s="308"/>
      <c r="K5" s="190"/>
      <c r="L5" s="190"/>
      <c r="M5" s="190"/>
      <c r="N5" s="190"/>
      <c r="O5" s="190"/>
      <c r="P5" s="190"/>
      <c r="Q5" s="190"/>
      <c r="R5" s="190"/>
      <c r="S5" s="190"/>
      <c r="T5" s="190"/>
      <c r="U5" s="190"/>
      <c r="V5" s="190"/>
      <c r="W5" s="190"/>
      <c r="X5" s="190"/>
      <c r="Y5" s="190"/>
      <c r="Z5" s="190"/>
    </row>
    <row r="6">
      <c r="A6" s="190"/>
      <c r="B6" s="313"/>
      <c r="C6" s="307"/>
      <c r="D6" s="307"/>
      <c r="E6" s="308"/>
      <c r="F6" s="307"/>
      <c r="G6" s="307"/>
      <c r="H6" s="307"/>
      <c r="I6" s="307"/>
      <c r="J6" s="308"/>
      <c r="K6" s="190"/>
      <c r="L6" s="190"/>
      <c r="M6" s="190"/>
      <c r="N6" s="190"/>
      <c r="O6" s="190"/>
      <c r="P6" s="190"/>
      <c r="Q6" s="190"/>
      <c r="R6" s="190"/>
      <c r="S6" s="190"/>
      <c r="T6" s="190"/>
      <c r="U6" s="190"/>
      <c r="V6" s="190"/>
      <c r="W6" s="190"/>
      <c r="X6" s="190"/>
      <c r="Y6" s="190"/>
      <c r="Z6" s="190"/>
    </row>
    <row r="7">
      <c r="A7" s="190"/>
      <c r="B7" s="307"/>
      <c r="C7" s="314" t="s">
        <v>863</v>
      </c>
      <c r="E7" s="307"/>
      <c r="F7" s="315" t="s">
        <v>825</v>
      </c>
      <c r="G7" s="307"/>
      <c r="H7" s="307"/>
      <c r="I7" s="316"/>
      <c r="J7" s="308"/>
      <c r="K7" s="190"/>
      <c r="L7" s="190"/>
      <c r="M7" s="190"/>
      <c r="N7" s="190"/>
      <c r="O7" s="190"/>
      <c r="P7" s="190"/>
      <c r="Q7" s="190"/>
      <c r="R7" s="190"/>
      <c r="S7" s="190"/>
      <c r="T7" s="190"/>
      <c r="U7" s="190"/>
      <c r="V7" s="190"/>
      <c r="W7" s="190"/>
      <c r="X7" s="190"/>
      <c r="Y7" s="190"/>
      <c r="Z7" s="190"/>
    </row>
    <row r="8">
      <c r="A8" s="190"/>
      <c r="B8" s="307"/>
      <c r="C8" s="307"/>
      <c r="D8" s="307"/>
      <c r="E8" s="308"/>
      <c r="F8" s="307"/>
      <c r="G8" s="307"/>
      <c r="H8" s="307"/>
      <c r="I8" s="316"/>
      <c r="J8" s="308"/>
      <c r="K8" s="190"/>
      <c r="L8" s="190"/>
      <c r="M8" s="190"/>
      <c r="N8" s="190"/>
      <c r="O8" s="190"/>
      <c r="P8" s="190"/>
      <c r="Q8" s="190"/>
      <c r="R8" s="190"/>
      <c r="S8" s="190"/>
      <c r="T8" s="190"/>
      <c r="U8" s="190"/>
      <c r="V8" s="190"/>
      <c r="W8" s="190"/>
      <c r="X8" s="190"/>
      <c r="Y8" s="190"/>
      <c r="Z8" s="190"/>
    </row>
    <row r="9">
      <c r="A9" s="190"/>
      <c r="B9" s="307"/>
      <c r="C9" s="314" t="s">
        <v>621</v>
      </c>
      <c r="D9" s="307"/>
      <c r="E9" s="307"/>
      <c r="F9" s="307"/>
      <c r="G9" s="307"/>
      <c r="H9" s="307"/>
      <c r="I9" s="316"/>
      <c r="J9" s="308"/>
      <c r="K9" s="190"/>
      <c r="L9" s="190"/>
      <c r="M9" s="190"/>
      <c r="N9" s="190"/>
      <c r="O9" s="190"/>
      <c r="P9" s="190"/>
      <c r="Q9" s="190"/>
      <c r="R9" s="190"/>
      <c r="S9" s="190"/>
      <c r="T9" s="190"/>
      <c r="U9" s="190"/>
      <c r="V9" s="190"/>
      <c r="W9" s="190"/>
      <c r="X9" s="190"/>
      <c r="Y9" s="190"/>
      <c r="Z9" s="190"/>
    </row>
    <row r="10">
      <c r="A10" s="190"/>
      <c r="B10" s="307"/>
      <c r="C10" s="307"/>
      <c r="D10" s="307"/>
      <c r="E10" s="308"/>
      <c r="F10" s="308"/>
      <c r="G10" s="308"/>
      <c r="H10" s="308"/>
      <c r="I10" s="308"/>
      <c r="J10" s="308"/>
      <c r="K10" s="190"/>
      <c r="L10" s="190"/>
      <c r="M10" s="190"/>
      <c r="N10" s="190"/>
      <c r="O10" s="190"/>
      <c r="P10" s="190"/>
      <c r="Q10" s="190"/>
      <c r="R10" s="190"/>
      <c r="S10" s="190"/>
      <c r="T10" s="190"/>
      <c r="U10" s="190"/>
      <c r="V10" s="190"/>
      <c r="W10" s="190"/>
      <c r="X10" s="190"/>
      <c r="Y10" s="190"/>
      <c r="Z10" s="190"/>
    </row>
    <row r="11">
      <c r="A11" s="190"/>
      <c r="B11" s="314" t="s">
        <v>693</v>
      </c>
      <c r="C11" s="314" t="s">
        <v>864</v>
      </c>
      <c r="E11" s="307"/>
      <c r="F11" s="317" t="str">
        <f>FillIn!M4</f>
        <v>de heer G. Aslan</v>
      </c>
      <c r="G11" s="307"/>
      <c r="H11" s="307"/>
      <c r="I11" s="307"/>
      <c r="J11" s="308"/>
      <c r="K11" s="190"/>
      <c r="L11" s="190"/>
      <c r="M11" s="190"/>
      <c r="N11" s="190"/>
      <c r="O11" s="190"/>
      <c r="P11" s="190"/>
      <c r="Q11" s="190"/>
      <c r="R11" s="190"/>
      <c r="S11" s="190"/>
      <c r="T11" s="190"/>
      <c r="U11" s="190"/>
      <c r="V11" s="190"/>
      <c r="W11" s="190"/>
      <c r="X11" s="190"/>
      <c r="Y11" s="190"/>
      <c r="Z11" s="190"/>
    </row>
    <row r="12">
      <c r="A12" s="190"/>
      <c r="B12" s="307"/>
      <c r="C12" s="314" t="s">
        <v>35</v>
      </c>
      <c r="D12" s="307"/>
      <c r="E12" s="307"/>
      <c r="F12" s="317" t="str">
        <f>FillIn!D5</f>
        <v>Bikscotelaan 248 /2/2140 Borgerhout</v>
      </c>
      <c r="G12" s="307"/>
      <c r="H12" s="307"/>
      <c r="I12" s="307"/>
      <c r="J12" s="308"/>
      <c r="K12" s="190"/>
      <c r="L12" s="190"/>
      <c r="M12" s="190"/>
      <c r="N12" s="190"/>
      <c r="O12" s="190"/>
      <c r="P12" s="190"/>
      <c r="Q12" s="190"/>
      <c r="R12" s="190"/>
      <c r="S12" s="190"/>
      <c r="T12" s="190"/>
      <c r="U12" s="190"/>
      <c r="V12" s="190"/>
      <c r="W12" s="190"/>
      <c r="X12" s="190"/>
      <c r="Y12" s="190"/>
      <c r="Z12" s="190"/>
    </row>
    <row r="13">
      <c r="A13" s="190"/>
      <c r="B13" s="307"/>
      <c r="C13" s="314" t="s">
        <v>37</v>
      </c>
      <c r="D13" s="307"/>
      <c r="E13" s="307"/>
      <c r="F13" s="317" t="str">
        <f>FillIn!D6&amp;" "&amp;FillIn!D7</f>
        <v>2140 An twerp</v>
      </c>
      <c r="G13" s="307"/>
      <c r="H13" s="307"/>
      <c r="I13" s="307"/>
      <c r="J13" s="308"/>
      <c r="K13" s="190"/>
      <c r="L13" s="190"/>
      <c r="M13" s="190"/>
      <c r="N13" s="190"/>
      <c r="O13" s="190"/>
      <c r="P13" s="190"/>
      <c r="Q13" s="190"/>
      <c r="R13" s="190"/>
      <c r="S13" s="190"/>
      <c r="T13" s="190"/>
      <c r="U13" s="190"/>
      <c r="V13" s="190"/>
      <c r="W13" s="190"/>
      <c r="X13" s="190"/>
      <c r="Y13" s="190"/>
      <c r="Z13" s="190"/>
    </row>
    <row r="14">
      <c r="A14" s="190"/>
      <c r="B14" s="307"/>
      <c r="C14" s="314" t="s">
        <v>624</v>
      </c>
      <c r="E14" s="307"/>
      <c r="F14" s="318">
        <f>FillIn!D8</f>
        <v>29310</v>
      </c>
      <c r="J14" s="308"/>
      <c r="K14" s="190"/>
      <c r="L14" s="190"/>
      <c r="M14" s="190"/>
      <c r="N14" s="190"/>
      <c r="O14" s="190"/>
      <c r="P14" s="190"/>
      <c r="Q14" s="190"/>
      <c r="R14" s="190"/>
      <c r="S14" s="190"/>
      <c r="T14" s="190"/>
      <c r="U14" s="190"/>
      <c r="V14" s="190"/>
      <c r="W14" s="190"/>
      <c r="X14" s="190"/>
      <c r="Y14" s="190"/>
      <c r="Z14" s="190"/>
    </row>
    <row r="15">
      <c r="A15" s="190"/>
      <c r="B15" s="307"/>
      <c r="C15" s="314" t="s">
        <v>39</v>
      </c>
      <c r="D15" s="307"/>
      <c r="E15" s="307"/>
      <c r="F15" s="319">
        <f>FillIn!D9</f>
        <v>235116026</v>
      </c>
      <c r="J15" s="308"/>
      <c r="K15" s="190"/>
      <c r="L15" s="190"/>
      <c r="M15" s="190"/>
      <c r="N15" s="190"/>
      <c r="O15" s="190"/>
      <c r="P15" s="190"/>
      <c r="Q15" s="190"/>
      <c r="R15" s="190"/>
      <c r="S15" s="190"/>
      <c r="T15" s="190"/>
      <c r="U15" s="190"/>
      <c r="V15" s="190"/>
      <c r="W15" s="190"/>
      <c r="X15" s="190"/>
      <c r="Y15" s="190"/>
      <c r="Z15" s="190"/>
    </row>
    <row r="16">
      <c r="A16" s="190"/>
      <c r="B16" s="307"/>
      <c r="C16" s="307"/>
      <c r="D16" s="307"/>
      <c r="E16" s="307"/>
      <c r="F16" s="307"/>
      <c r="G16" s="307"/>
      <c r="H16" s="307"/>
      <c r="I16" s="307"/>
      <c r="J16" s="308"/>
      <c r="K16" s="190"/>
      <c r="L16" s="190"/>
      <c r="M16" s="190"/>
      <c r="N16" s="190"/>
      <c r="O16" s="190"/>
      <c r="P16" s="190"/>
      <c r="Q16" s="190"/>
      <c r="R16" s="190"/>
      <c r="S16" s="190"/>
      <c r="T16" s="190"/>
      <c r="U16" s="190"/>
      <c r="V16" s="190"/>
      <c r="W16" s="190"/>
      <c r="X16" s="190"/>
      <c r="Y16" s="190"/>
      <c r="Z16" s="190"/>
    </row>
    <row r="17">
      <c r="A17" s="190"/>
      <c r="B17" s="307"/>
      <c r="C17" s="314" t="s">
        <v>865</v>
      </c>
      <c r="E17" s="307"/>
      <c r="F17" s="315" t="s">
        <v>632</v>
      </c>
      <c r="G17" s="307"/>
      <c r="H17" s="307"/>
      <c r="I17" s="307"/>
      <c r="J17" s="308"/>
      <c r="K17" s="190"/>
      <c r="L17" s="190"/>
      <c r="M17" s="190"/>
      <c r="N17" s="190"/>
      <c r="O17" s="190"/>
      <c r="P17" s="190"/>
      <c r="Q17" s="190"/>
      <c r="R17" s="190"/>
      <c r="S17" s="190"/>
      <c r="T17" s="190"/>
      <c r="U17" s="190"/>
      <c r="V17" s="190"/>
      <c r="W17" s="190"/>
      <c r="X17" s="190"/>
      <c r="Y17" s="190"/>
      <c r="Z17" s="190"/>
    </row>
    <row r="18">
      <c r="A18" s="190"/>
      <c r="B18" s="307"/>
      <c r="C18" s="307"/>
      <c r="D18" s="307"/>
      <c r="E18" s="307"/>
      <c r="F18" s="307"/>
      <c r="G18" s="307"/>
      <c r="H18" s="307"/>
      <c r="I18" s="307"/>
      <c r="J18" s="308"/>
      <c r="K18" s="190"/>
      <c r="L18" s="190"/>
      <c r="M18" s="190"/>
      <c r="N18" s="190"/>
      <c r="O18" s="190"/>
      <c r="P18" s="190"/>
      <c r="Q18" s="190"/>
      <c r="R18" s="190"/>
      <c r="S18" s="190"/>
      <c r="T18" s="190"/>
      <c r="U18" s="190"/>
      <c r="V18" s="190"/>
      <c r="W18" s="190"/>
      <c r="X18" s="190"/>
      <c r="Y18" s="190"/>
      <c r="Z18" s="190"/>
    </row>
    <row r="19">
      <c r="A19" s="190"/>
      <c r="B19" s="314" t="s">
        <v>866</v>
      </c>
      <c r="F19" s="307"/>
      <c r="G19" s="307"/>
      <c r="H19" s="307"/>
      <c r="I19" s="307"/>
      <c r="J19" s="308"/>
      <c r="K19" s="190"/>
      <c r="L19" s="190"/>
      <c r="M19" s="190"/>
      <c r="N19" s="190"/>
      <c r="O19" s="190"/>
      <c r="P19" s="190"/>
      <c r="Q19" s="190"/>
      <c r="R19" s="190"/>
      <c r="S19" s="190"/>
      <c r="T19" s="190"/>
      <c r="U19" s="190"/>
      <c r="V19" s="190"/>
      <c r="W19" s="190"/>
      <c r="X19" s="190"/>
      <c r="Y19" s="190"/>
      <c r="Z19" s="190"/>
    </row>
    <row r="20">
      <c r="A20" s="190"/>
      <c r="B20" s="307"/>
      <c r="C20" s="307"/>
      <c r="D20" s="307"/>
      <c r="E20" s="307"/>
      <c r="F20" s="307"/>
      <c r="G20" s="307"/>
      <c r="H20" s="307"/>
      <c r="I20" s="307"/>
      <c r="J20" s="308"/>
      <c r="K20" s="190"/>
      <c r="L20" s="190"/>
      <c r="M20" s="190"/>
      <c r="N20" s="190"/>
      <c r="O20" s="190"/>
      <c r="P20" s="190"/>
      <c r="Q20" s="190"/>
      <c r="R20" s="190"/>
      <c r="S20" s="190"/>
      <c r="T20" s="190"/>
      <c r="U20" s="190"/>
      <c r="V20" s="190"/>
      <c r="W20" s="190"/>
      <c r="X20" s="190"/>
      <c r="Y20" s="190"/>
      <c r="Z20" s="190"/>
    </row>
    <row r="21">
      <c r="A21" s="190"/>
      <c r="B21" s="317" t="s">
        <v>867</v>
      </c>
      <c r="D21" s="317" t="s">
        <v>45</v>
      </c>
      <c r="E21" s="307"/>
      <c r="F21" s="307"/>
      <c r="G21" s="307"/>
      <c r="H21" s="307"/>
      <c r="I21" s="307"/>
      <c r="J21" s="308"/>
      <c r="K21" s="190"/>
      <c r="L21" s="190"/>
      <c r="M21" s="190"/>
      <c r="N21" s="190"/>
      <c r="O21" s="190"/>
      <c r="P21" s="190"/>
      <c r="Q21" s="190"/>
      <c r="R21" s="190"/>
      <c r="S21" s="190"/>
      <c r="T21" s="190"/>
      <c r="U21" s="190"/>
      <c r="V21" s="190"/>
      <c r="W21" s="190"/>
      <c r="X21" s="190"/>
      <c r="Y21" s="190"/>
      <c r="Z21" s="190"/>
    </row>
    <row r="22">
      <c r="A22" s="190"/>
      <c r="B22" s="320" t="s">
        <v>868</v>
      </c>
      <c r="C22" s="321" t="str">
        <f>"Per "&amp;TEXT(FillIn!D11,"dd mmmm yyyy")&amp;" treedt "&amp;FillIn!M4&amp;" indienst bij "&amp;FillIn!H4&amp;" voor de duur van de projecten welke "&amp;FillIn!H4&amp;" heeft afgesloten met verschillende opdrachtgevers."</f>
        <v>Per 18 november 2025 treedt de heer G. Aslan indienst bij DeNeX Uitzendbureau B.V. voor de duur van de projecten welke DeNeX Uitzendbureau B.V. heeft afgesloten met verschillende opdrachtgevers.</v>
      </c>
      <c r="J22" s="308"/>
      <c r="K22" s="190"/>
      <c r="L22" s="190"/>
      <c r="M22" s="190"/>
      <c r="N22" s="190"/>
      <c r="O22" s="190"/>
      <c r="P22" s="190"/>
      <c r="Q22" s="190"/>
      <c r="R22" s="190"/>
      <c r="S22" s="190"/>
      <c r="T22" s="190"/>
      <c r="U22" s="190"/>
      <c r="V22" s="190"/>
      <c r="W22" s="190"/>
      <c r="X22" s="190"/>
      <c r="Y22" s="190"/>
      <c r="Z22" s="190"/>
    </row>
    <row r="23">
      <c r="A23" s="190"/>
      <c r="B23" s="314" t="s">
        <v>869</v>
      </c>
      <c r="C23" s="312" t="str">
        <f>FillIn!M4&amp;" zal als "&amp;FillIn!D13&amp;" worden ingezet voor de arbeidsduur van "&amp;FillIn!D15&amp;"."</f>
        <v>de heer G. Aslan zal als Chauffeur worden ingezet voor de arbeidsduur van 40 uur per week.</v>
      </c>
      <c r="J23" s="308"/>
      <c r="K23" s="190"/>
      <c r="L23" s="190"/>
      <c r="M23" s="190"/>
      <c r="N23" s="190"/>
      <c r="O23" s="190"/>
      <c r="P23" s="190"/>
      <c r="Q23" s="190"/>
      <c r="R23" s="190"/>
      <c r="S23" s="190"/>
      <c r="T23" s="190"/>
      <c r="U23" s="190"/>
      <c r="V23" s="190"/>
      <c r="W23" s="190"/>
      <c r="X23" s="190"/>
      <c r="Y23" s="190"/>
      <c r="Z23" s="190"/>
    </row>
    <row r="24">
      <c r="A24" s="190"/>
      <c r="B24" s="307"/>
      <c r="C24" s="314" t="str">
        <f>"Naar verwachting zal de arbeidsovereenkomst doorlopen tot "&amp;TEXT(FillIn!H41,"dd mmmm yyyy")&amp;". "</f>
        <v>Naar verwachting zal de arbeidsovereenkomst doorlopen tot 17 juni 2026. </v>
      </c>
      <c r="D24" s="314"/>
      <c r="E24" s="314"/>
      <c r="F24" s="314"/>
      <c r="G24" s="314"/>
      <c r="H24" s="314"/>
      <c r="I24" s="307"/>
      <c r="J24" s="308"/>
      <c r="K24" s="190"/>
      <c r="L24" s="190"/>
      <c r="M24" s="190"/>
      <c r="N24" s="190"/>
      <c r="O24" s="190"/>
      <c r="P24" s="190"/>
      <c r="Q24" s="190"/>
      <c r="R24" s="190"/>
      <c r="S24" s="190"/>
      <c r="T24" s="190"/>
      <c r="U24" s="190"/>
      <c r="V24" s="190"/>
      <c r="W24" s="190"/>
      <c r="X24" s="190"/>
      <c r="Y24" s="190"/>
      <c r="Z24" s="190"/>
    </row>
    <row r="25">
      <c r="A25" s="190"/>
      <c r="B25" s="307"/>
      <c r="C25" s="312" t="str">
        <f>FillIn!M4&amp;" werkt onder toezicht van de opdrachtgever voor wie werknemer de werkzaamheden gaat verrichten."</f>
        <v>de heer G. Aslan werkt onder toezicht van de opdrachtgever voor wie werknemer de werkzaamheden gaat verrichten.</v>
      </c>
      <c r="J25" s="308"/>
      <c r="K25" s="190"/>
      <c r="L25" s="190"/>
      <c r="M25" s="190"/>
      <c r="N25" s="190"/>
      <c r="O25" s="190"/>
      <c r="P25" s="190"/>
      <c r="Q25" s="190"/>
      <c r="R25" s="190"/>
      <c r="S25" s="190"/>
      <c r="T25" s="190"/>
      <c r="U25" s="190"/>
      <c r="V25" s="190"/>
      <c r="W25" s="190"/>
      <c r="X25" s="190"/>
      <c r="Y25" s="190"/>
      <c r="Z25" s="190"/>
    </row>
    <row r="26">
      <c r="A26" s="190"/>
      <c r="B26" s="314" t="s">
        <v>870</v>
      </c>
      <c r="C26" s="314" t="s">
        <v>871</v>
      </c>
      <c r="D26" s="314"/>
      <c r="E26" s="314"/>
      <c r="F26" s="314"/>
      <c r="G26" s="314"/>
      <c r="H26" s="314"/>
      <c r="I26" s="307"/>
      <c r="J26" s="308"/>
      <c r="K26" s="190"/>
      <c r="L26" s="190"/>
      <c r="M26" s="190"/>
      <c r="N26" s="190"/>
      <c r="O26" s="190"/>
      <c r="P26" s="190"/>
      <c r="Q26" s="190"/>
      <c r="R26" s="190"/>
      <c r="S26" s="190"/>
      <c r="T26" s="190"/>
      <c r="U26" s="190"/>
      <c r="V26" s="190"/>
      <c r="W26" s="190"/>
      <c r="X26" s="190"/>
      <c r="Y26" s="190"/>
      <c r="Z26" s="190"/>
    </row>
    <row r="27">
      <c r="A27" s="190"/>
      <c r="B27" s="307"/>
      <c r="C27" s="322"/>
      <c r="E27" s="307"/>
      <c r="F27" s="307"/>
      <c r="G27" s="307"/>
      <c r="H27" s="307"/>
      <c r="I27" s="307"/>
      <c r="J27" s="308"/>
      <c r="K27" s="190"/>
      <c r="L27" s="190"/>
      <c r="M27" s="190"/>
      <c r="N27" s="190"/>
      <c r="O27" s="190"/>
      <c r="P27" s="190"/>
      <c r="Q27" s="190"/>
      <c r="R27" s="190"/>
      <c r="S27" s="190"/>
      <c r="T27" s="190"/>
      <c r="U27" s="190"/>
      <c r="V27" s="190"/>
      <c r="W27" s="190"/>
      <c r="X27" s="190"/>
      <c r="Y27" s="190"/>
      <c r="Z27" s="190"/>
    </row>
    <row r="28">
      <c r="A28" s="190"/>
      <c r="B28" s="317" t="s">
        <v>872</v>
      </c>
      <c r="D28" s="317" t="s">
        <v>873</v>
      </c>
      <c r="E28" s="307"/>
      <c r="F28" s="307"/>
      <c r="G28" s="307"/>
      <c r="H28" s="307"/>
      <c r="I28" s="307"/>
      <c r="J28" s="308"/>
      <c r="K28" s="190"/>
      <c r="L28" s="190"/>
      <c r="M28" s="190"/>
      <c r="N28" s="190"/>
      <c r="O28" s="190"/>
      <c r="P28" s="190"/>
      <c r="Q28" s="190"/>
      <c r="R28" s="190"/>
      <c r="S28" s="190"/>
      <c r="T28" s="190"/>
      <c r="U28" s="190"/>
      <c r="V28" s="190"/>
      <c r="W28" s="190"/>
      <c r="X28" s="190"/>
      <c r="Y28" s="190"/>
      <c r="Z28" s="190"/>
    </row>
    <row r="29">
      <c r="A29" s="190"/>
      <c r="B29" s="314" t="s">
        <v>874</v>
      </c>
      <c r="K29" s="190"/>
      <c r="L29" s="190"/>
      <c r="M29" s="190"/>
      <c r="N29" s="190"/>
      <c r="O29" s="190"/>
      <c r="P29" s="190"/>
      <c r="Q29" s="190"/>
      <c r="R29" s="190"/>
      <c r="S29" s="190"/>
      <c r="T29" s="190"/>
      <c r="U29" s="190"/>
      <c r="V29" s="190"/>
      <c r="W29" s="190"/>
      <c r="X29" s="190"/>
      <c r="Y29" s="190"/>
      <c r="Z29" s="190"/>
    </row>
    <row r="30">
      <c r="A30" s="190"/>
      <c r="B30" s="323" t="s">
        <v>875</v>
      </c>
      <c r="K30" s="190"/>
      <c r="L30" s="190"/>
      <c r="M30" s="190"/>
      <c r="N30" s="190"/>
      <c r="O30" s="190"/>
      <c r="P30" s="190"/>
      <c r="Q30" s="190"/>
      <c r="R30" s="190"/>
      <c r="S30" s="190"/>
      <c r="T30" s="190"/>
      <c r="U30" s="190"/>
      <c r="V30" s="190"/>
      <c r="W30" s="190"/>
      <c r="X30" s="190"/>
      <c r="Y30" s="190"/>
      <c r="Z30" s="190"/>
    </row>
    <row r="31">
      <c r="A31" s="190"/>
      <c r="B31" s="307"/>
      <c r="C31" s="307"/>
      <c r="D31" s="307"/>
      <c r="E31" s="307"/>
      <c r="F31" s="307"/>
      <c r="G31" s="307"/>
      <c r="H31" s="307"/>
      <c r="I31" s="307"/>
      <c r="J31" s="308"/>
      <c r="K31" s="190"/>
      <c r="L31" s="190"/>
      <c r="M31" s="190"/>
      <c r="N31" s="190"/>
      <c r="O31" s="190"/>
      <c r="P31" s="190"/>
      <c r="Q31" s="190"/>
      <c r="R31" s="190"/>
      <c r="S31" s="190"/>
      <c r="T31" s="190"/>
      <c r="U31" s="190"/>
      <c r="V31" s="190"/>
      <c r="W31" s="190"/>
      <c r="X31" s="190"/>
      <c r="Y31" s="190"/>
      <c r="Z31" s="190"/>
    </row>
    <row r="32">
      <c r="A32" s="190"/>
      <c r="B32" s="317" t="s">
        <v>876</v>
      </c>
      <c r="D32" s="317" t="s">
        <v>877</v>
      </c>
      <c r="F32" s="307"/>
      <c r="G32" s="307"/>
      <c r="H32" s="307"/>
      <c r="I32" s="307"/>
      <c r="J32" s="308"/>
      <c r="K32" s="190"/>
      <c r="L32" s="190"/>
      <c r="M32" s="190"/>
      <c r="N32" s="190"/>
      <c r="O32" s="190"/>
      <c r="P32" s="190"/>
      <c r="Q32" s="190"/>
      <c r="R32" s="190"/>
      <c r="S32" s="190"/>
      <c r="T32" s="190"/>
      <c r="U32" s="190"/>
      <c r="V32" s="190"/>
      <c r="W32" s="190"/>
      <c r="X32" s="190"/>
      <c r="Y32" s="190"/>
      <c r="Z32" s="190"/>
    </row>
    <row r="33">
      <c r="A33" s="190"/>
      <c r="B33" s="320" t="s">
        <v>878</v>
      </c>
      <c r="C33" s="324" t="s">
        <v>879</v>
      </c>
      <c r="K33" s="190"/>
      <c r="L33" s="190"/>
      <c r="M33" s="190"/>
      <c r="N33" s="190"/>
      <c r="O33" s="190"/>
      <c r="P33" s="190"/>
      <c r="Q33" s="190"/>
      <c r="R33" s="190"/>
      <c r="S33" s="190"/>
      <c r="T33" s="190"/>
      <c r="U33" s="190"/>
      <c r="V33" s="190"/>
      <c r="W33" s="190"/>
      <c r="X33" s="190"/>
      <c r="Y33" s="190"/>
      <c r="Z33" s="190"/>
    </row>
    <row r="34">
      <c r="A34" s="190"/>
      <c r="B34" s="320" t="s">
        <v>880</v>
      </c>
      <c r="C34" s="324" t="s">
        <v>881</v>
      </c>
      <c r="K34" s="190"/>
      <c r="L34" s="190"/>
      <c r="M34" s="190"/>
      <c r="N34" s="190"/>
      <c r="O34" s="190"/>
      <c r="P34" s="190"/>
      <c r="Q34" s="190"/>
      <c r="R34" s="190"/>
      <c r="S34" s="190"/>
      <c r="T34" s="190"/>
      <c r="U34" s="190"/>
      <c r="V34" s="190"/>
      <c r="W34" s="190"/>
      <c r="X34" s="190"/>
      <c r="Y34" s="190"/>
      <c r="Z34" s="190"/>
    </row>
    <row r="35">
      <c r="A35" s="190"/>
      <c r="B35" s="307"/>
      <c r="C35" s="307"/>
      <c r="D35" s="307"/>
      <c r="E35" s="307"/>
      <c r="F35" s="307"/>
      <c r="G35" s="307"/>
      <c r="H35" s="307"/>
      <c r="I35" s="307"/>
      <c r="J35" s="308"/>
      <c r="K35" s="190"/>
      <c r="L35" s="190"/>
      <c r="M35" s="190"/>
      <c r="N35" s="190"/>
      <c r="O35" s="190"/>
      <c r="P35" s="190"/>
      <c r="Q35" s="190"/>
      <c r="R35" s="190"/>
      <c r="S35" s="190"/>
      <c r="T35" s="190"/>
      <c r="U35" s="190"/>
      <c r="V35" s="190"/>
      <c r="W35" s="190"/>
      <c r="X35" s="190"/>
      <c r="Y35" s="190"/>
      <c r="Z35" s="190"/>
    </row>
    <row r="36">
      <c r="A36" s="190"/>
      <c r="B36" s="317" t="s">
        <v>882</v>
      </c>
      <c r="D36" s="317" t="s">
        <v>883</v>
      </c>
      <c r="G36" s="307"/>
      <c r="H36" s="307"/>
      <c r="I36" s="307"/>
      <c r="J36" s="308"/>
      <c r="K36" s="190"/>
      <c r="L36" s="190"/>
      <c r="M36" s="190"/>
      <c r="N36" s="190"/>
      <c r="O36" s="190"/>
      <c r="P36" s="190"/>
      <c r="Q36" s="190"/>
      <c r="R36" s="190"/>
      <c r="S36" s="190"/>
      <c r="T36" s="190"/>
      <c r="U36" s="190"/>
      <c r="V36" s="190"/>
      <c r="W36" s="190"/>
      <c r="X36" s="190"/>
      <c r="Y36" s="190"/>
      <c r="Z36" s="190"/>
    </row>
    <row r="37">
      <c r="A37" s="190"/>
      <c r="B37" s="312" t="str">
        <f>"Het bruto uurloon bedraagt:  € "&amp;FillIn!D24&amp;" en zal door "&amp;FillIn!H4&amp;" worden voldaan op basis van een 40 urige werkweek."</f>
        <v>Het bruto uurloon bedraagt:  € 18,71 en zal door DeNeX Uitzendbureau B.V. worden voldaan op basis van een 40 urige werkweek.</v>
      </c>
      <c r="J37" s="314"/>
      <c r="K37" s="190"/>
      <c r="L37" s="190"/>
      <c r="M37" s="190"/>
      <c r="N37" s="190"/>
      <c r="O37" s="190"/>
      <c r="P37" s="190"/>
      <c r="Q37" s="190"/>
      <c r="R37" s="190"/>
      <c r="S37" s="190"/>
      <c r="T37" s="302"/>
      <c r="U37" s="190"/>
      <c r="V37" s="190"/>
      <c r="W37" s="190"/>
      <c r="X37" s="190"/>
      <c r="Y37" s="190"/>
      <c r="Z37" s="190"/>
    </row>
    <row r="38">
      <c r="A38" s="190"/>
      <c r="B38" s="312" t="s">
        <v>884</v>
      </c>
      <c r="J38" s="308"/>
      <c r="K38" s="190"/>
      <c r="L38" s="190"/>
      <c r="M38" s="190"/>
      <c r="N38" s="190"/>
      <c r="O38" s="190"/>
      <c r="P38" s="190"/>
      <c r="Q38" s="190"/>
      <c r="R38" s="190"/>
      <c r="S38" s="190"/>
      <c r="T38" s="190"/>
      <c r="U38" s="190"/>
      <c r="V38" s="190"/>
      <c r="W38" s="190"/>
      <c r="X38" s="190"/>
      <c r="Y38" s="190"/>
      <c r="Z38" s="190"/>
    </row>
    <row r="39">
      <c r="A39" s="190"/>
      <c r="B39" s="307"/>
      <c r="C39" s="307"/>
      <c r="D39" s="307"/>
      <c r="E39" s="307"/>
      <c r="F39" s="307"/>
      <c r="G39" s="307"/>
      <c r="H39" s="307"/>
      <c r="I39" s="307"/>
      <c r="J39" s="308"/>
      <c r="K39" s="190"/>
      <c r="L39" s="190"/>
      <c r="M39" s="190"/>
      <c r="N39" s="190"/>
      <c r="O39" s="190"/>
      <c r="P39" s="190"/>
      <c r="Q39" s="190"/>
      <c r="R39" s="190"/>
      <c r="S39" s="190"/>
      <c r="T39" s="190"/>
      <c r="U39" s="190"/>
      <c r="V39" s="190"/>
      <c r="W39" s="190"/>
      <c r="X39" s="190"/>
      <c r="Y39" s="190"/>
      <c r="Z39" s="190"/>
    </row>
    <row r="40">
      <c r="A40" s="190"/>
      <c r="B40" s="310" t="s">
        <v>885</v>
      </c>
      <c r="E40" s="307"/>
      <c r="F40" s="307"/>
      <c r="G40" s="307"/>
      <c r="H40" s="307"/>
      <c r="I40" s="307"/>
      <c r="J40" s="308"/>
      <c r="K40" s="190"/>
      <c r="L40" s="190"/>
      <c r="M40" s="190"/>
      <c r="N40" s="190"/>
      <c r="O40" s="190"/>
      <c r="P40" s="190"/>
      <c r="Q40" s="190"/>
      <c r="R40" s="190"/>
      <c r="S40" s="190"/>
      <c r="T40" s="190"/>
      <c r="U40" s="190"/>
      <c r="V40" s="190"/>
      <c r="W40" s="190"/>
      <c r="X40" s="190"/>
      <c r="Y40" s="190"/>
      <c r="Z40" s="190"/>
    </row>
    <row r="41">
      <c r="A41" s="190"/>
      <c r="B41" s="314" t="s">
        <v>886</v>
      </c>
      <c r="C41" s="314" t="s">
        <v>887</v>
      </c>
      <c r="D41" s="314"/>
      <c r="E41" s="314"/>
      <c r="F41" s="314"/>
      <c r="G41" s="307"/>
      <c r="H41" s="307"/>
      <c r="I41" s="307"/>
      <c r="J41" s="308"/>
      <c r="K41" s="190"/>
      <c r="L41" s="190"/>
      <c r="M41" s="190"/>
      <c r="N41" s="190"/>
      <c r="O41" s="190"/>
      <c r="P41" s="190"/>
      <c r="Q41" s="190"/>
      <c r="R41" s="190"/>
      <c r="S41" s="190"/>
      <c r="T41" s="190"/>
      <c r="U41" s="190"/>
      <c r="V41" s="190"/>
      <c r="W41" s="190"/>
      <c r="X41" s="190"/>
      <c r="Y41" s="190"/>
      <c r="Z41" s="190"/>
    </row>
    <row r="42">
      <c r="A42" s="190"/>
      <c r="B42" s="314" t="s">
        <v>886</v>
      </c>
      <c r="C42" s="314" t="s">
        <v>888</v>
      </c>
      <c r="D42" s="314"/>
      <c r="E42" s="314"/>
      <c r="F42" s="314"/>
      <c r="G42" s="314"/>
      <c r="H42" s="314"/>
      <c r="I42" s="307"/>
      <c r="J42" s="308"/>
      <c r="K42" s="190"/>
      <c r="L42" s="190"/>
      <c r="M42" s="190"/>
      <c r="N42" s="190"/>
      <c r="O42" s="190"/>
      <c r="P42" s="190"/>
      <c r="Q42" s="190"/>
      <c r="R42" s="190"/>
      <c r="S42" s="190"/>
      <c r="T42" s="190"/>
      <c r="U42" s="190"/>
      <c r="V42" s="190"/>
      <c r="W42" s="190"/>
      <c r="X42" s="190"/>
      <c r="Y42" s="190"/>
      <c r="Z42" s="190"/>
    </row>
    <row r="43">
      <c r="A43" s="190"/>
      <c r="B43" s="314" t="s">
        <v>886</v>
      </c>
      <c r="C43" s="314" t="s">
        <v>889</v>
      </c>
      <c r="D43" s="314"/>
      <c r="E43" s="314"/>
      <c r="F43" s="314"/>
      <c r="G43" s="314"/>
      <c r="H43" s="314"/>
      <c r="I43" s="307"/>
      <c r="J43" s="308"/>
      <c r="K43" s="190"/>
      <c r="L43" s="190"/>
      <c r="M43" s="190"/>
      <c r="N43" s="190"/>
      <c r="O43" s="190"/>
      <c r="P43" s="190"/>
      <c r="Q43" s="190"/>
      <c r="R43" s="190"/>
      <c r="S43" s="190"/>
      <c r="T43" s="190"/>
      <c r="U43" s="190"/>
      <c r="V43" s="190"/>
      <c r="W43" s="190"/>
      <c r="X43" s="190"/>
      <c r="Y43" s="190"/>
      <c r="Z43" s="190"/>
    </row>
    <row r="44">
      <c r="A44" s="190"/>
      <c r="B44" s="314" t="s">
        <v>886</v>
      </c>
      <c r="C44" s="314" t="s">
        <v>890</v>
      </c>
      <c r="D44" s="314"/>
      <c r="E44" s="314"/>
      <c r="F44" s="314"/>
      <c r="G44" s="314"/>
      <c r="H44" s="314"/>
      <c r="I44" s="307"/>
      <c r="J44" s="308"/>
      <c r="K44" s="190"/>
      <c r="L44" s="190"/>
      <c r="M44" s="190"/>
      <c r="N44" s="190"/>
      <c r="O44" s="190"/>
      <c r="P44" s="190"/>
      <c r="Q44" s="190"/>
      <c r="R44" s="190"/>
      <c r="S44" s="190"/>
      <c r="T44" s="190"/>
      <c r="U44" s="190"/>
      <c r="V44" s="190"/>
      <c r="W44" s="190"/>
      <c r="X44" s="190"/>
      <c r="Y44" s="190"/>
      <c r="Z44" s="190"/>
    </row>
    <row r="45">
      <c r="A45" s="190"/>
      <c r="B45" s="314" t="s">
        <v>886</v>
      </c>
      <c r="C45" s="314" t="s">
        <v>891</v>
      </c>
      <c r="D45" s="314"/>
      <c r="E45" s="314"/>
      <c r="F45" s="314"/>
      <c r="G45" s="314"/>
      <c r="H45" s="314"/>
      <c r="I45" s="307"/>
      <c r="J45" s="308"/>
      <c r="K45" s="190"/>
      <c r="L45" s="190"/>
      <c r="M45" s="190"/>
      <c r="N45" s="190"/>
      <c r="O45" s="190"/>
      <c r="P45" s="190"/>
      <c r="Q45" s="190"/>
      <c r="R45" s="190"/>
      <c r="S45" s="190"/>
      <c r="T45" s="190"/>
      <c r="U45" s="190"/>
      <c r="V45" s="190"/>
      <c r="W45" s="190"/>
      <c r="X45" s="190"/>
      <c r="Y45" s="190"/>
      <c r="Z45" s="190"/>
    </row>
    <row r="46">
      <c r="A46" s="190"/>
      <c r="B46" s="314" t="s">
        <v>886</v>
      </c>
      <c r="C46" s="314" t="s">
        <v>892</v>
      </c>
      <c r="D46" s="314"/>
      <c r="E46" s="314"/>
      <c r="F46" s="314"/>
      <c r="G46" s="314"/>
      <c r="H46" s="314"/>
      <c r="I46" s="307"/>
      <c r="J46" s="308"/>
      <c r="K46" s="190"/>
      <c r="L46" s="190"/>
      <c r="M46" s="190"/>
      <c r="N46" s="190"/>
      <c r="O46" s="190"/>
      <c r="P46" s="190"/>
      <c r="Q46" s="190"/>
      <c r="R46" s="190"/>
      <c r="S46" s="190"/>
      <c r="T46" s="190"/>
      <c r="U46" s="190"/>
      <c r="V46" s="190"/>
      <c r="W46" s="190"/>
      <c r="X46" s="190"/>
      <c r="Y46" s="190"/>
      <c r="Z46" s="190"/>
    </row>
    <row r="47">
      <c r="A47" s="190"/>
      <c r="B47" s="314" t="s">
        <v>886</v>
      </c>
      <c r="C47" s="314" t="s">
        <v>893</v>
      </c>
      <c r="D47" s="314"/>
      <c r="E47" s="314"/>
      <c r="F47" s="314"/>
      <c r="G47" s="314"/>
      <c r="H47" s="314"/>
      <c r="I47" s="307"/>
      <c r="J47" s="308"/>
      <c r="K47" s="190"/>
      <c r="L47" s="190"/>
      <c r="M47" s="190"/>
      <c r="N47" s="190"/>
      <c r="O47" s="190"/>
      <c r="P47" s="190"/>
      <c r="Q47" s="190"/>
      <c r="R47" s="190"/>
      <c r="S47" s="190"/>
      <c r="T47" s="190"/>
      <c r="U47" s="190"/>
      <c r="V47" s="190"/>
      <c r="W47" s="190"/>
      <c r="X47" s="190"/>
      <c r="Y47" s="190"/>
      <c r="Z47" s="190"/>
    </row>
    <row r="48">
      <c r="A48" s="190"/>
      <c r="B48" s="314" t="s">
        <v>886</v>
      </c>
      <c r="C48" s="314" t="s">
        <v>894</v>
      </c>
      <c r="D48" s="314"/>
      <c r="E48" s="314"/>
      <c r="F48" s="314"/>
      <c r="G48" s="314"/>
      <c r="H48" s="314"/>
      <c r="I48" s="307"/>
      <c r="J48" s="308"/>
      <c r="K48" s="190"/>
      <c r="L48" s="190"/>
      <c r="M48" s="190"/>
      <c r="N48" s="190"/>
      <c r="O48" s="190"/>
      <c r="P48" s="190"/>
      <c r="Q48" s="190"/>
      <c r="R48" s="190"/>
      <c r="S48" s="190"/>
      <c r="T48" s="190"/>
      <c r="U48" s="190"/>
      <c r="V48" s="190"/>
      <c r="W48" s="190"/>
      <c r="X48" s="190"/>
      <c r="Y48" s="190"/>
      <c r="Z48" s="190"/>
    </row>
    <row r="49">
      <c r="A49" s="190"/>
      <c r="B49" s="307"/>
      <c r="C49" s="307"/>
      <c r="D49" s="307"/>
      <c r="E49" s="307"/>
      <c r="F49" s="307"/>
      <c r="G49" s="307"/>
      <c r="H49" s="307"/>
      <c r="I49" s="307"/>
      <c r="J49" s="308"/>
      <c r="K49" s="190"/>
      <c r="L49" s="190"/>
      <c r="M49" s="190"/>
      <c r="N49" s="190"/>
      <c r="O49" s="190"/>
      <c r="P49" s="190"/>
      <c r="Q49" s="190"/>
      <c r="R49" s="190"/>
      <c r="S49" s="190"/>
      <c r="T49" s="190"/>
      <c r="U49" s="190"/>
      <c r="V49" s="190"/>
      <c r="W49" s="190"/>
      <c r="X49" s="190"/>
      <c r="Y49" s="190"/>
      <c r="Z49" s="190"/>
    </row>
    <row r="50">
      <c r="A50" s="190"/>
      <c r="B50" s="317" t="s">
        <v>895</v>
      </c>
      <c r="D50" s="317" t="s">
        <v>896</v>
      </c>
      <c r="G50" s="307"/>
      <c r="H50" s="307"/>
      <c r="I50" s="307"/>
      <c r="J50" s="308"/>
      <c r="K50" s="190"/>
      <c r="L50" s="190"/>
      <c r="M50" s="190"/>
      <c r="N50" s="190"/>
      <c r="O50" s="190"/>
      <c r="P50" s="190"/>
      <c r="Q50" s="190"/>
      <c r="R50" s="190"/>
      <c r="S50" s="190"/>
      <c r="T50" s="190"/>
      <c r="U50" s="190"/>
      <c r="V50" s="190"/>
      <c r="W50" s="190"/>
      <c r="X50" s="190"/>
      <c r="Y50" s="190"/>
      <c r="Z50" s="190"/>
    </row>
    <row r="51">
      <c r="A51" s="190"/>
      <c r="B51" s="320" t="s">
        <v>897</v>
      </c>
      <c r="C51" s="324" t="s">
        <v>898</v>
      </c>
      <c r="K51" s="190"/>
      <c r="L51" s="190"/>
      <c r="M51" s="190"/>
      <c r="N51" s="190"/>
      <c r="O51" s="190"/>
      <c r="P51" s="190"/>
      <c r="Q51" s="190"/>
      <c r="R51" s="190"/>
      <c r="S51" s="190"/>
      <c r="T51" s="190"/>
      <c r="U51" s="190"/>
      <c r="V51" s="190"/>
      <c r="W51" s="190"/>
      <c r="X51" s="190"/>
      <c r="Y51" s="190"/>
      <c r="Z51" s="190"/>
    </row>
    <row r="52">
      <c r="A52" s="190"/>
      <c r="B52" s="320" t="s">
        <v>899</v>
      </c>
      <c r="C52" s="324" t="s">
        <v>900</v>
      </c>
      <c r="K52" s="190"/>
      <c r="L52" s="190"/>
      <c r="M52" s="190"/>
      <c r="N52" s="190"/>
      <c r="O52" s="190"/>
      <c r="P52" s="190"/>
      <c r="Q52" s="190"/>
      <c r="R52" s="190"/>
      <c r="S52" s="190"/>
      <c r="T52" s="190"/>
      <c r="U52" s="190"/>
      <c r="V52" s="190"/>
      <c r="W52" s="190"/>
      <c r="X52" s="190"/>
      <c r="Y52" s="190"/>
      <c r="Z52" s="190"/>
    </row>
    <row r="53">
      <c r="A53" s="190"/>
      <c r="B53" s="325" t="s">
        <v>886</v>
      </c>
      <c r="C53" s="324" t="s">
        <v>901</v>
      </c>
      <c r="K53" s="190"/>
      <c r="L53" s="190"/>
      <c r="M53" s="190"/>
      <c r="N53" s="190"/>
      <c r="O53" s="190"/>
      <c r="P53" s="190"/>
      <c r="Q53" s="190"/>
      <c r="R53" s="190"/>
      <c r="S53" s="190"/>
      <c r="T53" s="190"/>
      <c r="U53" s="190"/>
      <c r="V53" s="190"/>
      <c r="W53" s="190"/>
      <c r="X53" s="190"/>
      <c r="Y53" s="190"/>
      <c r="Z53" s="190"/>
    </row>
    <row r="54">
      <c r="A54" s="190"/>
      <c r="B54" s="325" t="s">
        <v>886</v>
      </c>
      <c r="C54" s="324" t="s">
        <v>902</v>
      </c>
      <c r="K54" s="190"/>
      <c r="L54" s="190"/>
      <c r="M54" s="190"/>
      <c r="N54" s="190"/>
      <c r="O54" s="190"/>
      <c r="P54" s="190"/>
      <c r="Q54" s="190"/>
      <c r="R54" s="190"/>
      <c r="S54" s="190"/>
      <c r="T54" s="190"/>
      <c r="U54" s="190"/>
      <c r="V54" s="190"/>
      <c r="W54" s="190"/>
      <c r="X54" s="190"/>
      <c r="Y54" s="190"/>
      <c r="Z54" s="190"/>
    </row>
    <row r="55">
      <c r="A55" s="190"/>
      <c r="B55" s="325" t="s">
        <v>886</v>
      </c>
      <c r="C55" s="324" t="s">
        <v>903</v>
      </c>
      <c r="K55" s="190"/>
      <c r="L55" s="190"/>
      <c r="M55" s="190"/>
      <c r="N55" s="190"/>
      <c r="O55" s="190"/>
      <c r="P55" s="190"/>
      <c r="Q55" s="190"/>
      <c r="R55" s="190"/>
      <c r="S55" s="190"/>
      <c r="T55" s="190"/>
      <c r="U55" s="190"/>
      <c r="V55" s="190"/>
      <c r="W55" s="190"/>
      <c r="X55" s="190"/>
      <c r="Y55" s="190"/>
      <c r="Z55" s="190"/>
    </row>
    <row r="56">
      <c r="A56" s="190"/>
      <c r="B56" s="325" t="s">
        <v>886</v>
      </c>
      <c r="C56" s="324" t="s">
        <v>904</v>
      </c>
      <c r="K56" s="190"/>
      <c r="L56" s="190"/>
      <c r="M56" s="190"/>
      <c r="N56" s="190"/>
      <c r="O56" s="190"/>
      <c r="P56" s="190"/>
      <c r="Q56" s="190"/>
      <c r="R56" s="190"/>
      <c r="S56" s="190"/>
      <c r="T56" s="190"/>
      <c r="U56" s="190"/>
      <c r="V56" s="190"/>
      <c r="W56" s="190"/>
      <c r="X56" s="190"/>
      <c r="Y56" s="190"/>
      <c r="Z56" s="190"/>
    </row>
    <row r="57">
      <c r="A57" s="190"/>
      <c r="B57" s="325" t="s">
        <v>886</v>
      </c>
      <c r="C57" s="324" t="s">
        <v>905</v>
      </c>
      <c r="K57" s="190"/>
      <c r="L57" s="190"/>
      <c r="M57" s="190"/>
      <c r="N57" s="190"/>
      <c r="O57" s="190"/>
      <c r="P57" s="190"/>
      <c r="Q57" s="190"/>
      <c r="R57" s="190"/>
      <c r="S57" s="190"/>
      <c r="T57" s="190"/>
      <c r="U57" s="190"/>
      <c r="V57" s="190"/>
      <c r="W57" s="190"/>
      <c r="X57" s="190"/>
      <c r="Y57" s="190"/>
      <c r="Z57" s="190"/>
    </row>
    <row r="58">
      <c r="A58" s="190"/>
      <c r="B58" s="320" t="s">
        <v>906</v>
      </c>
      <c r="C58" s="324" t="s">
        <v>907</v>
      </c>
      <c r="K58" s="190"/>
      <c r="L58" s="190"/>
      <c r="M58" s="190"/>
      <c r="N58" s="190"/>
      <c r="O58" s="190"/>
      <c r="P58" s="190"/>
      <c r="Q58" s="190"/>
      <c r="R58" s="190"/>
      <c r="S58" s="190"/>
      <c r="T58" s="190"/>
      <c r="U58" s="190"/>
      <c r="V58" s="190"/>
      <c r="W58" s="190"/>
      <c r="X58" s="190"/>
      <c r="Y58" s="190"/>
      <c r="Z58" s="190"/>
    </row>
    <row r="59">
      <c r="A59" s="190"/>
      <c r="B59" s="320" t="s">
        <v>908</v>
      </c>
      <c r="C59" s="324" t="s">
        <v>909</v>
      </c>
      <c r="K59" s="190"/>
      <c r="L59" s="190"/>
      <c r="M59" s="190"/>
      <c r="N59" s="190"/>
      <c r="O59" s="190"/>
      <c r="P59" s="190"/>
      <c r="Q59" s="190"/>
      <c r="R59" s="190"/>
      <c r="S59" s="190"/>
      <c r="T59" s="190"/>
      <c r="U59" s="190"/>
      <c r="V59" s="190"/>
      <c r="W59" s="190"/>
      <c r="X59" s="190"/>
      <c r="Y59" s="190"/>
      <c r="Z59" s="190"/>
    </row>
    <row r="60">
      <c r="A60" s="190"/>
      <c r="B60" s="307"/>
      <c r="C60" s="307"/>
      <c r="D60" s="307"/>
      <c r="E60" s="307"/>
      <c r="F60" s="307"/>
      <c r="G60" s="307"/>
      <c r="H60" s="307"/>
      <c r="I60" s="307"/>
      <c r="J60" s="308"/>
      <c r="K60" s="190"/>
      <c r="L60" s="190"/>
      <c r="M60" s="190"/>
      <c r="N60" s="190"/>
      <c r="O60" s="190"/>
      <c r="P60" s="190"/>
      <c r="Q60" s="190"/>
      <c r="R60" s="190"/>
      <c r="S60" s="190"/>
      <c r="T60" s="190"/>
      <c r="U60" s="190"/>
      <c r="V60" s="190"/>
      <c r="W60" s="190"/>
      <c r="X60" s="190"/>
      <c r="Y60" s="190"/>
      <c r="Z60" s="190"/>
    </row>
    <row r="61">
      <c r="A61" s="190"/>
      <c r="B61" s="326" t="s">
        <v>910</v>
      </c>
      <c r="K61" s="190"/>
      <c r="L61" s="190"/>
      <c r="M61" s="190"/>
      <c r="N61" s="190"/>
      <c r="O61" s="190"/>
      <c r="P61" s="190"/>
      <c r="Q61" s="190"/>
      <c r="R61" s="190"/>
      <c r="S61" s="190"/>
      <c r="T61" s="190"/>
      <c r="U61" s="190"/>
      <c r="V61" s="190"/>
      <c r="W61" s="190"/>
      <c r="X61" s="190"/>
      <c r="Y61" s="190"/>
      <c r="Z61" s="190"/>
    </row>
    <row r="62">
      <c r="A62" s="190"/>
      <c r="B62" s="307"/>
      <c r="C62" s="307"/>
      <c r="D62" s="307"/>
      <c r="E62" s="307"/>
      <c r="F62" s="307"/>
      <c r="G62" s="307"/>
      <c r="H62" s="307"/>
      <c r="I62" s="307"/>
      <c r="J62" s="308"/>
      <c r="K62" s="190"/>
      <c r="L62" s="190"/>
      <c r="M62" s="190"/>
      <c r="N62" s="190"/>
      <c r="O62" s="190"/>
      <c r="P62" s="190"/>
      <c r="Q62" s="190"/>
      <c r="R62" s="190"/>
      <c r="S62" s="190"/>
      <c r="T62" s="190"/>
      <c r="U62" s="190"/>
      <c r="V62" s="190"/>
      <c r="W62" s="190"/>
      <c r="X62" s="190"/>
      <c r="Y62" s="190"/>
      <c r="Z62" s="190"/>
    </row>
    <row r="63">
      <c r="A63" s="190"/>
      <c r="B63" s="317" t="s">
        <v>911</v>
      </c>
      <c r="D63" s="317" t="s">
        <v>912</v>
      </c>
      <c r="F63" s="307"/>
      <c r="G63" s="307"/>
      <c r="H63" s="307"/>
      <c r="I63" s="307"/>
      <c r="J63" s="308"/>
      <c r="K63" s="190"/>
      <c r="L63" s="190"/>
      <c r="M63" s="190"/>
      <c r="N63" s="190"/>
      <c r="O63" s="190"/>
      <c r="P63" s="190"/>
      <c r="Q63" s="190"/>
      <c r="R63" s="190"/>
      <c r="S63" s="190"/>
      <c r="T63" s="190"/>
      <c r="U63" s="190"/>
      <c r="V63" s="190"/>
      <c r="W63" s="190"/>
      <c r="X63" s="190"/>
      <c r="Y63" s="190"/>
      <c r="Z63" s="190"/>
    </row>
    <row r="64">
      <c r="A64" s="190"/>
      <c r="B64" s="324" t="s">
        <v>913</v>
      </c>
      <c r="K64" s="190"/>
      <c r="L64" s="190"/>
      <c r="M64" s="190"/>
      <c r="N64" s="190"/>
      <c r="O64" s="190"/>
      <c r="P64" s="190"/>
      <c r="Q64" s="190"/>
      <c r="R64" s="190"/>
      <c r="S64" s="190"/>
      <c r="T64" s="190"/>
      <c r="U64" s="190"/>
      <c r="V64" s="190"/>
      <c r="W64" s="190"/>
      <c r="X64" s="190"/>
      <c r="Y64" s="190"/>
      <c r="Z64" s="190"/>
    </row>
    <row r="65">
      <c r="A65" s="190"/>
      <c r="B65" s="307"/>
      <c r="C65" s="308"/>
      <c r="D65" s="308"/>
      <c r="E65" s="308"/>
      <c r="F65" s="308"/>
      <c r="G65" s="308"/>
      <c r="H65" s="308"/>
      <c r="I65" s="308"/>
      <c r="J65" s="308"/>
      <c r="K65" s="190"/>
      <c r="L65" s="190"/>
      <c r="M65" s="190"/>
      <c r="N65" s="190"/>
      <c r="O65" s="190"/>
      <c r="P65" s="190"/>
      <c r="Q65" s="190"/>
      <c r="R65" s="190"/>
      <c r="S65" s="190"/>
      <c r="T65" s="190"/>
      <c r="U65" s="190"/>
      <c r="V65" s="190"/>
      <c r="W65" s="190"/>
      <c r="X65" s="190"/>
      <c r="Y65" s="190"/>
      <c r="Z65" s="190"/>
    </row>
    <row r="66">
      <c r="A66" s="190"/>
      <c r="B66" s="324" t="s">
        <v>914</v>
      </c>
      <c r="K66" s="190"/>
      <c r="L66" s="190"/>
      <c r="M66" s="190"/>
      <c r="N66" s="190"/>
      <c r="O66" s="190"/>
      <c r="P66" s="190"/>
      <c r="Q66" s="190"/>
      <c r="R66" s="190"/>
      <c r="S66" s="190"/>
      <c r="T66" s="190"/>
      <c r="U66" s="190"/>
      <c r="V66" s="190"/>
      <c r="W66" s="190"/>
      <c r="X66" s="190"/>
      <c r="Y66" s="190"/>
      <c r="Z66" s="190"/>
    </row>
    <row r="67">
      <c r="A67" s="190"/>
      <c r="B67" s="307"/>
      <c r="C67" s="307"/>
      <c r="D67" s="307"/>
      <c r="E67" s="308"/>
      <c r="F67" s="307"/>
      <c r="G67" s="307"/>
      <c r="H67" s="308"/>
      <c r="I67" s="316"/>
      <c r="J67" s="308"/>
      <c r="K67" s="190"/>
      <c r="L67" s="190"/>
      <c r="M67" s="190"/>
      <c r="N67" s="190"/>
      <c r="O67" s="190"/>
      <c r="P67" s="190"/>
      <c r="Q67" s="190"/>
      <c r="R67" s="190"/>
      <c r="S67" s="190"/>
      <c r="T67" s="190"/>
      <c r="U67" s="190"/>
      <c r="V67" s="190"/>
      <c r="W67" s="190"/>
      <c r="X67" s="190"/>
      <c r="Y67" s="190"/>
      <c r="Z67" s="190"/>
    </row>
    <row r="68">
      <c r="A68" s="190"/>
      <c r="B68" s="317" t="s">
        <v>915</v>
      </c>
      <c r="E68" s="308"/>
      <c r="F68" s="307"/>
      <c r="G68" s="307"/>
      <c r="H68" s="307"/>
      <c r="I68" s="308"/>
      <c r="J68" s="308"/>
      <c r="K68" s="190"/>
      <c r="L68" s="190"/>
      <c r="M68" s="190"/>
      <c r="N68" s="190"/>
      <c r="O68" s="190"/>
      <c r="P68" s="190"/>
      <c r="Q68" s="190"/>
      <c r="R68" s="190"/>
      <c r="S68" s="190"/>
      <c r="T68" s="190"/>
      <c r="U68" s="190"/>
      <c r="V68" s="190"/>
      <c r="W68" s="190"/>
      <c r="X68" s="190"/>
      <c r="Y68" s="190"/>
      <c r="Z68" s="190"/>
    </row>
    <row r="69">
      <c r="A69" s="190"/>
      <c r="B69" s="324" t="s">
        <v>916</v>
      </c>
      <c r="K69" s="190"/>
      <c r="L69" s="190"/>
      <c r="M69" s="190"/>
      <c r="N69" s="190"/>
      <c r="O69" s="190"/>
      <c r="P69" s="190"/>
      <c r="Q69" s="190"/>
      <c r="R69" s="190"/>
      <c r="S69" s="190"/>
      <c r="T69" s="190"/>
      <c r="U69" s="190"/>
      <c r="V69" s="190"/>
      <c r="W69" s="190"/>
      <c r="X69" s="190"/>
      <c r="Y69" s="190"/>
      <c r="Z69" s="190"/>
    </row>
    <row r="70">
      <c r="A70" s="190"/>
      <c r="B70" s="324" t="s">
        <v>917</v>
      </c>
      <c r="K70" s="190"/>
      <c r="L70" s="190"/>
      <c r="M70" s="190"/>
      <c r="N70" s="190"/>
      <c r="O70" s="190"/>
      <c r="P70" s="190"/>
      <c r="Q70" s="190"/>
      <c r="R70" s="190"/>
      <c r="S70" s="190"/>
      <c r="T70" s="190"/>
      <c r="U70" s="190"/>
      <c r="V70" s="190"/>
      <c r="W70" s="190"/>
      <c r="X70" s="190"/>
      <c r="Y70" s="190"/>
      <c r="Z70" s="190"/>
    </row>
    <row r="71">
      <c r="A71" s="190"/>
      <c r="B71" s="317"/>
      <c r="C71" s="317"/>
      <c r="D71" s="308"/>
      <c r="E71" s="308"/>
      <c r="F71" s="308"/>
      <c r="G71" s="308"/>
      <c r="H71" s="308"/>
      <c r="I71" s="307"/>
      <c r="J71" s="308"/>
      <c r="K71" s="190"/>
      <c r="L71" s="190"/>
      <c r="M71" s="190"/>
      <c r="N71" s="190"/>
      <c r="O71" s="190"/>
      <c r="P71" s="190"/>
      <c r="Q71" s="190"/>
      <c r="R71" s="190"/>
      <c r="S71" s="190"/>
      <c r="T71" s="190"/>
      <c r="U71" s="190"/>
      <c r="V71" s="190"/>
      <c r="W71" s="190"/>
      <c r="X71" s="190"/>
      <c r="Y71" s="190"/>
      <c r="Z71" s="190"/>
    </row>
    <row r="72">
      <c r="A72" s="190"/>
      <c r="B72" s="317" t="s">
        <v>918</v>
      </c>
      <c r="D72" s="308"/>
      <c r="E72" s="308"/>
      <c r="F72" s="308"/>
      <c r="G72" s="308"/>
      <c r="H72" s="308"/>
      <c r="I72" s="307"/>
      <c r="J72" s="308"/>
      <c r="K72" s="190"/>
      <c r="L72" s="190"/>
      <c r="M72" s="190"/>
      <c r="N72" s="190"/>
      <c r="O72" s="190"/>
      <c r="P72" s="190"/>
      <c r="Q72" s="190"/>
      <c r="R72" s="190"/>
      <c r="S72" s="190"/>
      <c r="T72" s="190"/>
      <c r="U72" s="190"/>
      <c r="V72" s="190"/>
      <c r="W72" s="190"/>
      <c r="X72" s="190"/>
      <c r="Y72" s="190"/>
      <c r="Z72" s="190"/>
    </row>
    <row r="73">
      <c r="A73" s="190"/>
      <c r="B73" s="324" t="s">
        <v>919</v>
      </c>
      <c r="K73" s="190"/>
      <c r="L73" s="190"/>
      <c r="M73" s="190"/>
      <c r="N73" s="190"/>
      <c r="O73" s="190"/>
      <c r="P73" s="190"/>
      <c r="Q73" s="190"/>
      <c r="R73" s="190"/>
      <c r="S73" s="190"/>
      <c r="T73" s="190"/>
      <c r="U73" s="190"/>
      <c r="V73" s="190"/>
      <c r="W73" s="190"/>
      <c r="X73" s="190"/>
      <c r="Y73" s="190"/>
      <c r="Z73" s="190"/>
    </row>
    <row r="74">
      <c r="A74" s="190"/>
      <c r="B74" s="324" t="s">
        <v>920</v>
      </c>
      <c r="K74" s="190"/>
      <c r="L74" s="190"/>
      <c r="M74" s="190"/>
      <c r="N74" s="190"/>
      <c r="O74" s="190"/>
      <c r="P74" s="190"/>
      <c r="Q74" s="190"/>
      <c r="R74" s="190"/>
      <c r="S74" s="190"/>
      <c r="T74" s="190"/>
      <c r="U74" s="190"/>
      <c r="V74" s="190"/>
      <c r="W74" s="190"/>
      <c r="X74" s="190"/>
      <c r="Y74" s="190"/>
      <c r="Z74" s="190"/>
    </row>
    <row r="75">
      <c r="A75" s="190"/>
      <c r="B75" s="307"/>
      <c r="C75" s="307"/>
      <c r="D75" s="307"/>
      <c r="E75" s="308"/>
      <c r="F75" s="307"/>
      <c r="G75" s="307"/>
      <c r="H75" s="308"/>
      <c r="I75" s="308"/>
      <c r="J75" s="308"/>
      <c r="K75" s="190"/>
      <c r="L75" s="190"/>
      <c r="M75" s="190"/>
      <c r="N75" s="190"/>
      <c r="O75" s="190"/>
      <c r="P75" s="190"/>
      <c r="Q75" s="190"/>
      <c r="R75" s="190"/>
      <c r="S75" s="190"/>
      <c r="T75" s="190"/>
      <c r="U75" s="190"/>
      <c r="V75" s="190"/>
      <c r="W75" s="190"/>
      <c r="X75" s="190"/>
      <c r="Y75" s="190"/>
      <c r="Z75" s="190"/>
    </row>
    <row r="76">
      <c r="A76" s="190"/>
      <c r="B76" s="317" t="s">
        <v>921</v>
      </c>
      <c r="D76" s="317" t="s">
        <v>922</v>
      </c>
      <c r="G76" s="308"/>
      <c r="H76" s="308"/>
      <c r="I76" s="308"/>
      <c r="J76" s="308"/>
      <c r="K76" s="190"/>
      <c r="L76" s="190"/>
      <c r="M76" s="190"/>
      <c r="N76" s="190"/>
      <c r="O76" s="190"/>
      <c r="P76" s="190"/>
      <c r="Q76" s="190"/>
      <c r="R76" s="190"/>
      <c r="S76" s="190"/>
      <c r="T76" s="190"/>
      <c r="U76" s="190"/>
      <c r="V76" s="190"/>
      <c r="W76" s="190"/>
      <c r="X76" s="190"/>
      <c r="Y76" s="190"/>
      <c r="Z76" s="190"/>
    </row>
    <row r="77">
      <c r="A77" s="190"/>
      <c r="B77" s="314" t="s">
        <v>923</v>
      </c>
      <c r="J77" s="308"/>
      <c r="K77" s="190"/>
      <c r="L77" s="190"/>
      <c r="M77" s="190"/>
      <c r="N77" s="190"/>
      <c r="O77" s="190"/>
      <c r="P77" s="190"/>
      <c r="Q77" s="190"/>
      <c r="R77" s="190"/>
      <c r="S77" s="190"/>
      <c r="T77" s="190"/>
      <c r="U77" s="190"/>
      <c r="V77" s="190"/>
      <c r="W77" s="190"/>
      <c r="X77" s="190"/>
      <c r="Y77" s="190"/>
      <c r="Z77" s="190"/>
    </row>
    <row r="78">
      <c r="A78" s="190"/>
      <c r="B78" s="308"/>
      <c r="C78" s="308"/>
      <c r="D78" s="308"/>
      <c r="E78" s="308"/>
      <c r="F78" s="308"/>
      <c r="G78" s="308"/>
      <c r="H78" s="308"/>
      <c r="I78" s="308"/>
      <c r="J78" s="308"/>
      <c r="K78" s="190"/>
      <c r="L78" s="190"/>
      <c r="M78" s="190"/>
      <c r="N78" s="190"/>
      <c r="O78" s="190"/>
      <c r="P78" s="190"/>
      <c r="Q78" s="190"/>
      <c r="R78" s="190"/>
      <c r="S78" s="190"/>
      <c r="T78" s="190"/>
      <c r="U78" s="190"/>
      <c r="V78" s="190"/>
      <c r="W78" s="190"/>
      <c r="X78" s="190"/>
      <c r="Y78" s="190"/>
      <c r="Z78" s="190"/>
    </row>
    <row r="79">
      <c r="A79" s="190"/>
      <c r="B79" s="324" t="s">
        <v>924</v>
      </c>
      <c r="K79" s="190"/>
      <c r="L79" s="190"/>
      <c r="M79" s="190"/>
      <c r="N79" s="190"/>
      <c r="O79" s="190"/>
      <c r="P79" s="190"/>
      <c r="Q79" s="190"/>
      <c r="R79" s="190"/>
      <c r="S79" s="190"/>
      <c r="T79" s="190"/>
      <c r="U79" s="190"/>
      <c r="V79" s="190"/>
      <c r="W79" s="190"/>
      <c r="X79" s="190"/>
      <c r="Y79" s="190"/>
      <c r="Z79" s="190"/>
    </row>
    <row r="80">
      <c r="A80" s="190"/>
      <c r="B80" s="308"/>
      <c r="C80" s="308"/>
      <c r="D80" s="308"/>
      <c r="E80" s="308"/>
      <c r="F80" s="308"/>
      <c r="G80" s="308"/>
      <c r="H80" s="308"/>
      <c r="I80" s="308"/>
      <c r="J80" s="308"/>
      <c r="K80" s="190"/>
      <c r="L80" s="190"/>
      <c r="M80" s="190"/>
      <c r="N80" s="190"/>
      <c r="O80" s="190"/>
      <c r="P80" s="190"/>
      <c r="Q80" s="190"/>
      <c r="R80" s="190"/>
      <c r="S80" s="190"/>
      <c r="T80" s="190"/>
      <c r="U80" s="190"/>
      <c r="V80" s="190"/>
      <c r="W80" s="190"/>
      <c r="X80" s="190"/>
      <c r="Y80" s="190"/>
      <c r="Z80" s="190"/>
    </row>
    <row r="81">
      <c r="A81" s="190"/>
      <c r="B81" s="317" t="s">
        <v>925</v>
      </c>
      <c r="D81" s="317" t="s">
        <v>926</v>
      </c>
      <c r="F81" s="308"/>
      <c r="G81" s="308"/>
      <c r="H81" s="308"/>
      <c r="I81" s="308"/>
      <c r="J81" s="308"/>
      <c r="K81" s="190"/>
      <c r="L81" s="190"/>
      <c r="M81" s="190"/>
      <c r="N81" s="190"/>
      <c r="O81" s="190"/>
      <c r="P81" s="190"/>
      <c r="Q81" s="190"/>
      <c r="R81" s="190"/>
      <c r="S81" s="190"/>
      <c r="T81" s="190"/>
      <c r="U81" s="190"/>
      <c r="V81" s="190"/>
      <c r="W81" s="190"/>
      <c r="X81" s="190"/>
      <c r="Y81" s="190"/>
      <c r="Z81" s="190"/>
    </row>
    <row r="82">
      <c r="A82" s="190"/>
      <c r="B82" s="324" t="s">
        <v>927</v>
      </c>
      <c r="K82" s="190"/>
      <c r="L82" s="190"/>
      <c r="M82" s="190"/>
      <c r="N82" s="190"/>
      <c r="O82" s="190"/>
      <c r="P82" s="190"/>
      <c r="Q82" s="190"/>
      <c r="R82" s="190"/>
      <c r="S82" s="190"/>
      <c r="T82" s="190"/>
      <c r="U82" s="190"/>
      <c r="V82" s="190"/>
      <c r="W82" s="190"/>
      <c r="X82" s="190"/>
      <c r="Y82" s="190"/>
      <c r="Z82" s="190"/>
    </row>
    <row r="83">
      <c r="A83" s="190"/>
      <c r="B83" s="324" t="s">
        <v>928</v>
      </c>
      <c r="K83" s="190"/>
      <c r="L83" s="190"/>
      <c r="M83" s="190"/>
      <c r="N83" s="190"/>
      <c r="O83" s="190"/>
      <c r="P83" s="190"/>
      <c r="Q83" s="190"/>
      <c r="R83" s="190"/>
      <c r="S83" s="190"/>
      <c r="T83" s="190"/>
      <c r="U83" s="190"/>
      <c r="V83" s="190"/>
      <c r="W83" s="190"/>
      <c r="X83" s="190"/>
      <c r="Y83" s="190"/>
      <c r="Z83" s="190"/>
    </row>
    <row r="84">
      <c r="A84" s="190"/>
      <c r="B84" s="324" t="s">
        <v>929</v>
      </c>
      <c r="K84" s="190"/>
      <c r="L84" s="190"/>
      <c r="M84" s="190"/>
      <c r="N84" s="190"/>
      <c r="O84" s="190"/>
      <c r="P84" s="190"/>
      <c r="Q84" s="190"/>
      <c r="R84" s="190"/>
      <c r="S84" s="190"/>
      <c r="T84" s="190"/>
      <c r="U84" s="190"/>
      <c r="V84" s="190"/>
      <c r="W84" s="190"/>
      <c r="X84" s="190"/>
      <c r="Y84" s="190"/>
      <c r="Z84" s="190"/>
    </row>
    <row r="85">
      <c r="A85" s="190"/>
      <c r="B85" s="314" t="str">
        <f>"Aldus overeengekomen en in tweevoud getekend te "&amp;FillIn!H8&amp;" op "&amp;TEXT(FillIn!D52,"dd mmmm yyyy")&amp;"."</f>
        <v>Aldus overeengekomen en in tweevoud getekend te Barendrecht op 17 november 2025.</v>
      </c>
      <c r="J85" s="308"/>
      <c r="K85" s="190"/>
      <c r="L85" s="190"/>
      <c r="M85" s="190"/>
      <c r="N85" s="190"/>
      <c r="O85" s="190"/>
      <c r="P85" s="190"/>
      <c r="Q85" s="190"/>
      <c r="R85" s="190"/>
      <c r="S85" s="190"/>
      <c r="T85" s="190"/>
      <c r="U85" s="190"/>
      <c r="V85" s="190"/>
      <c r="W85" s="190"/>
      <c r="X85" s="190"/>
      <c r="Y85" s="190"/>
      <c r="Z85" s="190"/>
    </row>
    <row r="86">
      <c r="A86" s="190"/>
      <c r="B86" s="308"/>
      <c r="C86" s="308"/>
      <c r="D86" s="308"/>
      <c r="E86" s="308"/>
      <c r="F86" s="308"/>
      <c r="G86" s="308"/>
      <c r="H86" s="308"/>
      <c r="I86" s="308"/>
      <c r="J86" s="308"/>
      <c r="K86" s="190"/>
      <c r="L86" s="190"/>
      <c r="M86" s="190"/>
      <c r="N86" s="190"/>
      <c r="O86" s="190"/>
      <c r="P86" s="190"/>
      <c r="Q86" s="190"/>
      <c r="R86" s="190"/>
      <c r="S86" s="190"/>
      <c r="T86" s="190"/>
      <c r="U86" s="190"/>
      <c r="V86" s="190"/>
      <c r="W86" s="190"/>
      <c r="X86" s="190"/>
      <c r="Y86" s="190"/>
      <c r="Z86" s="190"/>
    </row>
    <row r="87">
      <c r="A87" s="190"/>
      <c r="B87" s="317" t="str">
        <f>FillIn!H4</f>
        <v>DeNeX Uitzendbureau B.V.</v>
      </c>
      <c r="F87" s="308"/>
      <c r="G87" s="308"/>
      <c r="H87" s="317" t="s">
        <v>632</v>
      </c>
      <c r="J87" s="308"/>
      <c r="K87" s="190"/>
      <c r="L87" s="190"/>
      <c r="M87" s="190"/>
      <c r="N87" s="190"/>
      <c r="O87" s="190"/>
      <c r="P87" s="190"/>
      <c r="Q87" s="190"/>
      <c r="R87" s="190"/>
      <c r="S87" s="190"/>
      <c r="T87" s="190"/>
      <c r="U87" s="190"/>
      <c r="V87" s="190"/>
      <c r="W87" s="190"/>
      <c r="X87" s="190"/>
      <c r="Y87" s="190"/>
      <c r="Z87" s="190"/>
    </row>
    <row r="88">
      <c r="A88" s="190"/>
      <c r="B88" s="308"/>
      <c r="C88" s="308"/>
      <c r="D88" s="308"/>
      <c r="E88" s="308"/>
      <c r="F88" s="308"/>
      <c r="G88" s="308"/>
      <c r="H88" s="308"/>
      <c r="I88" s="308"/>
      <c r="J88" s="308"/>
      <c r="K88" s="190"/>
      <c r="L88" s="190"/>
      <c r="M88" s="190"/>
      <c r="N88" s="190"/>
      <c r="O88" s="190"/>
      <c r="P88" s="190"/>
      <c r="Q88" s="190"/>
      <c r="R88" s="190"/>
      <c r="S88" s="190"/>
      <c r="T88" s="190"/>
      <c r="U88" s="190"/>
      <c r="V88" s="190"/>
      <c r="W88" s="190"/>
      <c r="X88" s="190"/>
      <c r="Y88" s="190"/>
      <c r="Z88" s="190"/>
    </row>
    <row r="89">
      <c r="A89" s="190"/>
      <c r="B89" s="308"/>
      <c r="C89" s="308"/>
      <c r="D89" s="308"/>
      <c r="E89" s="308"/>
      <c r="F89" s="308"/>
      <c r="G89" s="308"/>
      <c r="H89" s="308"/>
      <c r="I89" s="308"/>
      <c r="J89" s="308"/>
      <c r="K89" s="190"/>
      <c r="L89" s="190"/>
      <c r="M89" s="190"/>
      <c r="N89" s="190"/>
      <c r="O89" s="190"/>
      <c r="P89" s="190"/>
      <c r="Q89" s="190"/>
      <c r="R89" s="190"/>
      <c r="S89" s="190"/>
      <c r="T89" s="190"/>
      <c r="U89" s="190"/>
      <c r="V89" s="190"/>
      <c r="W89" s="190"/>
      <c r="X89" s="190"/>
      <c r="Y89" s="190"/>
      <c r="Z89" s="190"/>
    </row>
    <row r="90">
      <c r="A90" s="190"/>
      <c r="B90" s="308"/>
      <c r="C90" s="308"/>
      <c r="D90" s="308"/>
      <c r="E90" s="308"/>
      <c r="F90" s="308"/>
      <c r="G90" s="308"/>
      <c r="H90" s="308"/>
      <c r="I90" s="308"/>
      <c r="J90" s="308"/>
      <c r="K90" s="190"/>
      <c r="L90" s="190"/>
      <c r="M90" s="190"/>
      <c r="N90" s="190"/>
      <c r="O90" s="190"/>
      <c r="P90" s="190"/>
      <c r="Q90" s="190"/>
      <c r="R90" s="190"/>
      <c r="S90" s="190"/>
      <c r="T90" s="190"/>
      <c r="U90" s="190"/>
      <c r="V90" s="190"/>
      <c r="W90" s="190"/>
      <c r="X90" s="190"/>
      <c r="Y90" s="190"/>
      <c r="Z90" s="190"/>
    </row>
    <row r="91">
      <c r="A91" s="190"/>
      <c r="B91" s="308"/>
      <c r="C91" s="308"/>
      <c r="D91" s="308"/>
      <c r="E91" s="308"/>
      <c r="F91" s="308"/>
      <c r="G91" s="308"/>
      <c r="H91" s="308"/>
      <c r="I91" s="308"/>
      <c r="J91" s="308"/>
      <c r="K91" s="190"/>
      <c r="L91" s="190"/>
      <c r="M91" s="190"/>
      <c r="N91" s="190"/>
      <c r="O91" s="190"/>
      <c r="P91" s="190"/>
      <c r="Q91" s="190"/>
      <c r="R91" s="190"/>
      <c r="S91" s="190"/>
      <c r="T91" s="190"/>
      <c r="U91" s="190"/>
      <c r="V91" s="190"/>
      <c r="W91" s="190"/>
      <c r="X91" s="190"/>
      <c r="Y91" s="190"/>
      <c r="Z91" s="190"/>
    </row>
    <row r="92">
      <c r="A92" s="190"/>
      <c r="B92" s="327" t="str">
        <f>FillIn!M5</f>
        <v>de heer D.O. Ibryam</v>
      </c>
      <c r="C92" s="327"/>
      <c r="D92" s="308"/>
      <c r="E92" s="308"/>
      <c r="F92" s="308"/>
      <c r="G92" s="308"/>
      <c r="H92" s="327" t="str">
        <f>FillIn!M4</f>
        <v>de heer G. Aslan</v>
      </c>
      <c r="I92" s="4"/>
      <c r="J92" s="308"/>
      <c r="K92" s="190"/>
      <c r="L92" s="190"/>
      <c r="M92" s="190"/>
      <c r="N92" s="190"/>
      <c r="O92" s="190"/>
      <c r="P92" s="190"/>
      <c r="Q92" s="190"/>
      <c r="R92" s="190"/>
      <c r="S92" s="190"/>
      <c r="T92" s="190"/>
      <c r="U92" s="190"/>
      <c r="V92" s="190"/>
      <c r="W92" s="190"/>
      <c r="X92" s="190"/>
      <c r="Y92" s="190"/>
      <c r="Z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sheetData>
  <mergeCells count="63">
    <mergeCell ref="B64:J64"/>
    <mergeCell ref="B66:J66"/>
    <mergeCell ref="B68:D68"/>
    <mergeCell ref="B69:J69"/>
    <mergeCell ref="B70:J70"/>
    <mergeCell ref="B73:J73"/>
    <mergeCell ref="B74:J74"/>
    <mergeCell ref="B72:C72"/>
    <mergeCell ref="B76:C76"/>
    <mergeCell ref="D76:F76"/>
    <mergeCell ref="B77:I77"/>
    <mergeCell ref="B79:J79"/>
    <mergeCell ref="B81:C81"/>
    <mergeCell ref="D81:E81"/>
    <mergeCell ref="B1:J1"/>
    <mergeCell ref="B3:D3"/>
    <mergeCell ref="B4:C4"/>
    <mergeCell ref="C5:I5"/>
    <mergeCell ref="C7:D7"/>
    <mergeCell ref="C11:D11"/>
    <mergeCell ref="C14:D14"/>
    <mergeCell ref="F14:I14"/>
    <mergeCell ref="F15:I15"/>
    <mergeCell ref="C17:D17"/>
    <mergeCell ref="B19:E19"/>
    <mergeCell ref="B21:C21"/>
    <mergeCell ref="C22:I22"/>
    <mergeCell ref="C23:I23"/>
    <mergeCell ref="C25:I25"/>
    <mergeCell ref="C27:D27"/>
    <mergeCell ref="B28:C28"/>
    <mergeCell ref="B29:J29"/>
    <mergeCell ref="B30:J30"/>
    <mergeCell ref="B32:C32"/>
    <mergeCell ref="D32:E32"/>
    <mergeCell ref="C33:J33"/>
    <mergeCell ref="C34:J34"/>
    <mergeCell ref="B36:C36"/>
    <mergeCell ref="D36:F36"/>
    <mergeCell ref="B37:I37"/>
    <mergeCell ref="B38:I38"/>
    <mergeCell ref="B40:D40"/>
    <mergeCell ref="B50:C50"/>
    <mergeCell ref="D50:F50"/>
    <mergeCell ref="C51:J51"/>
    <mergeCell ref="C52:J52"/>
    <mergeCell ref="C53:J53"/>
    <mergeCell ref="C54:J54"/>
    <mergeCell ref="C55:J55"/>
    <mergeCell ref="C56:J56"/>
    <mergeCell ref="C57:J57"/>
    <mergeCell ref="C58:J58"/>
    <mergeCell ref="C59:J59"/>
    <mergeCell ref="B61:J61"/>
    <mergeCell ref="B63:C63"/>
    <mergeCell ref="D63:E63"/>
    <mergeCell ref="B82:J82"/>
    <mergeCell ref="B83:J83"/>
    <mergeCell ref="B84:J84"/>
    <mergeCell ref="B85:I85"/>
    <mergeCell ref="B87:E87"/>
    <mergeCell ref="H87:I87"/>
    <mergeCell ref="H92:I92"/>
  </mergeCells>
  <hyperlinks>
    <hyperlink r:id="rId1" ref="B30"/>
  </hyperlinks>
  <printOptions gridLines="1" horizontalCentered="1"/>
  <pageMargins bottom="0.75" footer="0.0" header="0.0" left="0.7" right="0.7" top="0.75"/>
  <pageSetup fitToHeight="0" paperSize="9" cellComments="atEnd" orientation="portrait" pageOrder="overThenDown"/>
  <headerFooter>
    <oddHeader>&amp;CUITZENDOVEREENKOMST EX ARTIKEL 7:690 BW</oddHeader>
    <oddFooter>&amp;R&amp;P</oddFooter>
  </headerFooter>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5"/>
    <col customWidth="1" min="2" max="11" width="2.63"/>
  </cols>
  <sheetData>
    <row r="1" ht="48.0" customHeight="1"/>
    <row r="2">
      <c r="B2" s="328" t="s">
        <v>930</v>
      </c>
    </row>
    <row r="3">
      <c r="B3" s="329" t="s">
        <v>931</v>
      </c>
    </row>
    <row r="4">
      <c r="B4" s="330">
        <v>2.0</v>
      </c>
      <c r="C4" s="330">
        <v>0.0</v>
      </c>
      <c r="D4" s="330">
        <v>2.0</v>
      </c>
      <c r="E4" s="330">
        <v>2.0</v>
      </c>
      <c r="F4" s="330" t="s">
        <v>932</v>
      </c>
      <c r="G4" s="330">
        <v>2.0</v>
      </c>
      <c r="H4" s="330">
        <v>8.0</v>
      </c>
      <c r="I4" s="330">
        <v>3.0</v>
      </c>
      <c r="J4" s="330">
        <v>4.0</v>
      </c>
    </row>
    <row r="5">
      <c r="B5" s="331"/>
      <c r="C5" s="331"/>
      <c r="D5" s="331"/>
      <c r="E5" s="331"/>
      <c r="F5" s="332" t="s">
        <v>933</v>
      </c>
      <c r="G5" s="331"/>
      <c r="H5" s="331"/>
      <c r="I5" s="331"/>
      <c r="J5" s="331"/>
    </row>
    <row r="7">
      <c r="B7" s="329" t="s">
        <v>934</v>
      </c>
      <c r="L7" s="329" t="str">
        <f>FillIn!H4</f>
        <v>DeNeX Uitzendbureau B.V.</v>
      </c>
    </row>
    <row r="8">
      <c r="B8" s="329" t="s">
        <v>35</v>
      </c>
      <c r="D8" s="329"/>
      <c r="L8" s="329" t="str">
        <f>FillIn!H6</f>
        <v>Gebroken Meeldijk 66, Unit 1.15</v>
      </c>
    </row>
    <row r="9">
      <c r="D9" s="329"/>
      <c r="L9" s="329" t="str">
        <f>FillIn!H7&amp;" "&amp;FillIn!H8</f>
        <v>2991 VD Barendrecht</v>
      </c>
    </row>
    <row r="10">
      <c r="B10" s="329" t="s">
        <v>40</v>
      </c>
      <c r="C10" s="329"/>
      <c r="L10" s="333" t="str">
        <f>FillIn!H9</f>
        <v>+31628813127</v>
      </c>
    </row>
    <row r="12">
      <c r="B12" s="329" t="s">
        <v>935</v>
      </c>
    </row>
    <row r="13">
      <c r="B13" s="329" t="str">
        <f>"Naam vergunninghouder: "&amp;FillIn!H4</f>
        <v>Naam vergunninghouder: DeNeX Uitzendbureau B.V.</v>
      </c>
    </row>
    <row r="14">
      <c r="B14" s="334">
        <v>3.0</v>
      </c>
      <c r="C14" s="334">
        <v>2.0</v>
      </c>
      <c r="D14" s="334">
        <v>5.0</v>
      </c>
      <c r="E14" s="334">
        <v>3.0</v>
      </c>
      <c r="F14" s="334">
        <v>0.0</v>
      </c>
      <c r="G14" s="334" t="s">
        <v>936</v>
      </c>
      <c r="H14" s="334" t="s">
        <v>936</v>
      </c>
      <c r="I14" s="334" t="s">
        <v>936</v>
      </c>
      <c r="J14" s="334" t="s">
        <v>936</v>
      </c>
      <c r="K14" s="334" t="s">
        <v>936</v>
      </c>
    </row>
    <row r="16">
      <c r="E16" s="332" t="s">
        <v>937</v>
      </c>
    </row>
    <row r="17">
      <c r="C17" s="335" t="s">
        <v>938</v>
      </c>
    </row>
    <row r="18">
      <c r="B18" s="329" t="s">
        <v>939</v>
      </c>
      <c r="L18" s="336" t="str">
        <f>FillIn!O4</f>
        <v>Aslan, G.</v>
      </c>
    </row>
    <row r="19">
      <c r="B19" s="329" t="s">
        <v>940</v>
      </c>
      <c r="L19" s="337">
        <f>FillIn!D8</f>
        <v>29310</v>
      </c>
    </row>
    <row r="20">
      <c r="B20" s="329" t="s">
        <v>941</v>
      </c>
      <c r="L20" s="336" t="str">
        <f>FillIn!D5</f>
        <v>Bikscotelaan 248 /2/2140 Borgerhout</v>
      </c>
    </row>
    <row r="21">
      <c r="B21" s="329" t="s">
        <v>942</v>
      </c>
      <c r="L21" s="336" t="str">
        <f>FillIn!D6&amp;" "&amp;FillIn!D7</f>
        <v>2140 An twerp</v>
      </c>
    </row>
    <row r="23">
      <c r="C23" s="329" t="s">
        <v>943</v>
      </c>
    </row>
    <row r="24">
      <c r="C24" s="329" t="s">
        <v>944</v>
      </c>
    </row>
    <row r="26">
      <c r="B26" s="338" t="s">
        <v>945</v>
      </c>
      <c r="L26" s="339">
        <f>VLOOKUP(FillIn!$D$4,Employee!$A$3:$T$37,10,false)</f>
        <v>45979</v>
      </c>
    </row>
    <row r="28">
      <c r="B28" s="338" t="s">
        <v>946</v>
      </c>
      <c r="L28" s="339">
        <f>L26</f>
        <v>45979</v>
      </c>
    </row>
    <row r="30">
      <c r="B30" s="338" t="s">
        <v>947</v>
      </c>
      <c r="L30" s="339">
        <f>L26+211</f>
        <v>46190</v>
      </c>
    </row>
    <row r="32">
      <c r="B32" s="329" t="s">
        <v>948</v>
      </c>
    </row>
    <row r="35">
      <c r="B35" s="329" t="s">
        <v>949</v>
      </c>
      <c r="O35" s="329" t="s">
        <v>950</v>
      </c>
    </row>
    <row r="40">
      <c r="B40" s="1" t="str">
        <f>FillIn!M5</f>
        <v>de heer D.O. Ibryam</v>
      </c>
      <c r="O40" s="1" t="str">
        <f>FillIn!M4</f>
        <v>de heer G. Aslan</v>
      </c>
    </row>
    <row r="54">
      <c r="B54" s="340" t="s">
        <v>951</v>
      </c>
      <c r="P54" s="341"/>
      <c r="Q54" s="341"/>
    </row>
  </sheetData>
  <mergeCells count="5">
    <mergeCell ref="B2:O2"/>
    <mergeCell ref="B26:J26"/>
    <mergeCell ref="B28:J28"/>
    <mergeCell ref="B30:J30"/>
    <mergeCell ref="B54:O54"/>
  </mergeCells>
  <printOptions horizontalCentered="1"/>
  <pageMargins bottom="0.75" footer="0.0" header="0.0" left="0.7" right="0.7" top="0.75"/>
  <pageSetup fitToHeight="0" paperSize="9" orientation="portrait" pageOrder="overThenDown"/>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2" t="s">
        <v>952</v>
      </c>
    </row>
    <row r="2">
      <c r="A2" s="343" t="s">
        <v>953</v>
      </c>
      <c r="B2" s="344"/>
      <c r="C2" s="344"/>
      <c r="D2" s="345" t="s">
        <v>954</v>
      </c>
      <c r="F2" s="346"/>
      <c r="G2" s="345" t="s">
        <v>955</v>
      </c>
      <c r="I2" s="346"/>
    </row>
    <row r="3">
      <c r="A3" s="343"/>
      <c r="B3" s="344"/>
      <c r="C3" s="344"/>
      <c r="D3" s="347" t="s">
        <v>956</v>
      </c>
      <c r="E3" s="345" t="s">
        <v>957</v>
      </c>
      <c r="F3" s="345" t="s">
        <v>958</v>
      </c>
      <c r="G3" s="348">
        <v>1.0</v>
      </c>
      <c r="H3" s="349">
        <v>1.3</v>
      </c>
      <c r="I3" s="348">
        <v>1.5</v>
      </c>
    </row>
    <row r="4">
      <c r="A4" s="350" t="s">
        <v>959</v>
      </c>
      <c r="B4" s="350" t="s">
        <v>960</v>
      </c>
      <c r="C4" s="350">
        <v>1.0</v>
      </c>
      <c r="D4" s="351">
        <v>562.4</v>
      </c>
      <c r="E4" s="352">
        <v>2249.6</v>
      </c>
      <c r="F4" s="352">
        <v>2446.44</v>
      </c>
      <c r="G4" s="352">
        <v>14.06</v>
      </c>
      <c r="H4" s="353">
        <v>18.28</v>
      </c>
      <c r="I4" s="352">
        <v>21.09</v>
      </c>
    </row>
    <row r="5">
      <c r="A5" s="350" t="s">
        <v>961</v>
      </c>
      <c r="B5" s="350" t="s">
        <v>960</v>
      </c>
      <c r="C5" s="350">
        <v>2.0</v>
      </c>
      <c r="D5" s="351">
        <v>569.12</v>
      </c>
      <c r="E5" s="352">
        <v>2276.48</v>
      </c>
      <c r="F5" s="352">
        <v>2474.53</v>
      </c>
      <c r="G5" s="352">
        <v>14.23</v>
      </c>
      <c r="H5" s="353">
        <v>18.5</v>
      </c>
      <c r="I5" s="352">
        <v>21.35</v>
      </c>
    </row>
    <row r="6">
      <c r="A6" s="350" t="s">
        <v>962</v>
      </c>
      <c r="B6" s="350" t="s">
        <v>960</v>
      </c>
      <c r="C6" s="350">
        <v>3.0</v>
      </c>
      <c r="D6" s="351">
        <v>591.88</v>
      </c>
      <c r="E6" s="352">
        <v>2367.52</v>
      </c>
      <c r="F6" s="352">
        <v>2573.49</v>
      </c>
      <c r="G6" s="352">
        <v>14.8</v>
      </c>
      <c r="H6" s="353">
        <v>19.24</v>
      </c>
      <c r="I6" s="352">
        <v>22.2</v>
      </c>
    </row>
    <row r="7">
      <c r="A7" s="350" t="s">
        <v>963</v>
      </c>
      <c r="B7" s="350" t="s">
        <v>960</v>
      </c>
      <c r="C7" s="350">
        <v>4.0</v>
      </c>
      <c r="D7" s="351">
        <v>615.55</v>
      </c>
      <c r="E7" s="352">
        <v>2462.2</v>
      </c>
      <c r="F7" s="352">
        <v>2676.41</v>
      </c>
      <c r="G7" s="352">
        <v>15.39</v>
      </c>
      <c r="H7" s="353">
        <v>20.01</v>
      </c>
      <c r="I7" s="352">
        <v>23.09</v>
      </c>
    </row>
    <row r="8">
      <c r="A8" s="350" t="s">
        <v>964</v>
      </c>
      <c r="B8" s="350" t="s">
        <v>960</v>
      </c>
      <c r="C8" s="350">
        <v>5.0</v>
      </c>
      <c r="D8" s="351">
        <v>640.17</v>
      </c>
      <c r="E8" s="352">
        <v>2560.68</v>
      </c>
      <c r="F8" s="352">
        <v>2783.46</v>
      </c>
      <c r="G8" s="352">
        <v>16.0</v>
      </c>
      <c r="H8" s="353">
        <v>20.8</v>
      </c>
      <c r="I8" s="352">
        <v>24.0</v>
      </c>
    </row>
    <row r="9">
      <c r="A9" s="350" t="s">
        <v>965</v>
      </c>
      <c r="B9" s="350" t="s">
        <v>960</v>
      </c>
      <c r="C9" s="350">
        <v>6.0</v>
      </c>
      <c r="D9" s="351">
        <v>665.78</v>
      </c>
      <c r="E9" s="352">
        <v>2663.12</v>
      </c>
      <c r="F9" s="352">
        <v>2894.81</v>
      </c>
      <c r="G9" s="352">
        <v>16.64</v>
      </c>
      <c r="H9" s="353">
        <v>21.63</v>
      </c>
      <c r="I9" s="352">
        <v>24.96</v>
      </c>
    </row>
    <row r="10">
      <c r="A10" s="350" t="s">
        <v>966</v>
      </c>
      <c r="B10" s="350" t="s">
        <v>967</v>
      </c>
      <c r="C10" s="350">
        <v>1.0</v>
      </c>
      <c r="D10" s="351">
        <v>576.08</v>
      </c>
      <c r="E10" s="352">
        <v>2304.32</v>
      </c>
      <c r="F10" s="352">
        <v>2504.8</v>
      </c>
      <c r="G10" s="352">
        <v>14.4</v>
      </c>
      <c r="H10" s="353">
        <v>18.72</v>
      </c>
      <c r="I10" s="352">
        <v>21.6</v>
      </c>
    </row>
    <row r="11">
      <c r="A11" s="350" t="s">
        <v>968</v>
      </c>
      <c r="B11" s="350" t="s">
        <v>967</v>
      </c>
      <c r="C11" s="350">
        <v>2.0</v>
      </c>
      <c r="D11" s="351">
        <v>599.12</v>
      </c>
      <c r="E11" s="352">
        <v>2396.48</v>
      </c>
      <c r="F11" s="352">
        <v>2604.97</v>
      </c>
      <c r="G11" s="352">
        <v>14.98</v>
      </c>
      <c r="H11" s="353">
        <v>19.47</v>
      </c>
      <c r="I11" s="352">
        <v>22.47</v>
      </c>
    </row>
    <row r="12">
      <c r="A12" s="350" t="s">
        <v>969</v>
      </c>
      <c r="B12" s="350" t="s">
        <v>967</v>
      </c>
      <c r="C12" s="350">
        <v>3.0</v>
      </c>
      <c r="D12" s="351">
        <v>623.08</v>
      </c>
      <c r="E12" s="352">
        <v>2492.32</v>
      </c>
      <c r="F12" s="352">
        <v>2709.15</v>
      </c>
      <c r="G12" s="352">
        <v>15.58</v>
      </c>
      <c r="H12" s="353">
        <v>20.25</v>
      </c>
      <c r="I12" s="352">
        <v>23.37</v>
      </c>
    </row>
    <row r="13">
      <c r="A13" s="350" t="s">
        <v>970</v>
      </c>
      <c r="B13" s="350" t="s">
        <v>967</v>
      </c>
      <c r="C13" s="350">
        <v>4.0</v>
      </c>
      <c r="D13" s="351">
        <v>648.0</v>
      </c>
      <c r="E13" s="352">
        <v>2592.0</v>
      </c>
      <c r="F13" s="352">
        <v>2817.5</v>
      </c>
      <c r="G13" s="352">
        <v>16.2</v>
      </c>
      <c r="H13" s="353">
        <v>21.06</v>
      </c>
      <c r="I13" s="352">
        <v>24.3</v>
      </c>
    </row>
    <row r="14">
      <c r="A14" s="350" t="s">
        <v>971</v>
      </c>
      <c r="B14" s="350" t="s">
        <v>967</v>
      </c>
      <c r="C14" s="350">
        <v>5.0</v>
      </c>
      <c r="D14" s="351">
        <v>673.92</v>
      </c>
      <c r="E14" s="352">
        <v>2695.68</v>
      </c>
      <c r="F14" s="352">
        <v>2930.2</v>
      </c>
      <c r="G14" s="352">
        <v>16.85</v>
      </c>
      <c r="H14" s="353">
        <v>21.91</v>
      </c>
      <c r="I14" s="352">
        <v>25.28</v>
      </c>
    </row>
    <row r="15">
      <c r="A15" s="350" t="s">
        <v>972</v>
      </c>
      <c r="B15" s="350" t="s">
        <v>967</v>
      </c>
      <c r="C15" s="350">
        <v>6.0</v>
      </c>
      <c r="D15" s="351">
        <v>700.88</v>
      </c>
      <c r="E15" s="352">
        <v>2803.52</v>
      </c>
      <c r="F15" s="352">
        <v>3047.43</v>
      </c>
      <c r="G15" s="352">
        <v>17.52</v>
      </c>
      <c r="H15" s="353">
        <v>22.78</v>
      </c>
      <c r="I15" s="352">
        <v>26.28</v>
      </c>
    </row>
    <row r="16">
      <c r="A16" s="350" t="s">
        <v>973</v>
      </c>
      <c r="B16" s="350" t="s">
        <v>974</v>
      </c>
      <c r="C16" s="350">
        <v>1.0</v>
      </c>
      <c r="D16" s="351">
        <v>601.03</v>
      </c>
      <c r="E16" s="352">
        <v>2404.12</v>
      </c>
      <c r="F16" s="352">
        <v>2613.28</v>
      </c>
      <c r="G16" s="352">
        <v>15.03</v>
      </c>
      <c r="H16" s="353">
        <v>19.54</v>
      </c>
      <c r="I16" s="352">
        <v>22.55</v>
      </c>
    </row>
    <row r="17">
      <c r="A17" s="350" t="s">
        <v>975</v>
      </c>
      <c r="B17" s="350" t="s">
        <v>974</v>
      </c>
      <c r="C17" s="350">
        <v>2.0</v>
      </c>
      <c r="D17" s="351">
        <v>625.07</v>
      </c>
      <c r="E17" s="352">
        <v>2500.28</v>
      </c>
      <c r="F17" s="352">
        <v>2717.8</v>
      </c>
      <c r="G17" s="352">
        <v>15.63</v>
      </c>
      <c r="H17" s="353">
        <v>20.32</v>
      </c>
      <c r="I17" s="352">
        <v>23.45</v>
      </c>
    </row>
    <row r="18">
      <c r="A18" s="350" t="s">
        <v>976</v>
      </c>
      <c r="B18" s="350" t="s">
        <v>974</v>
      </c>
      <c r="C18" s="350">
        <v>3.0</v>
      </c>
      <c r="D18" s="351">
        <v>650.07</v>
      </c>
      <c r="E18" s="352">
        <v>2600.28</v>
      </c>
      <c r="F18" s="352">
        <v>2826.5</v>
      </c>
      <c r="G18" s="352">
        <v>16.25</v>
      </c>
      <c r="H18" s="353">
        <v>21.13</v>
      </c>
      <c r="I18" s="352">
        <v>24.38</v>
      </c>
    </row>
    <row r="19">
      <c r="A19" s="350" t="s">
        <v>977</v>
      </c>
      <c r="B19" s="350" t="s">
        <v>974</v>
      </c>
      <c r="C19" s="350">
        <v>4.0</v>
      </c>
      <c r="D19" s="351">
        <v>676.07</v>
      </c>
      <c r="E19" s="352">
        <v>2704.28</v>
      </c>
      <c r="F19" s="352">
        <v>2939.55</v>
      </c>
      <c r="G19" s="352">
        <v>16.9</v>
      </c>
      <c r="H19" s="353">
        <v>21.97</v>
      </c>
      <c r="I19" s="352">
        <v>25.35</v>
      </c>
    </row>
    <row r="20">
      <c r="A20" s="350" t="s">
        <v>978</v>
      </c>
      <c r="B20" s="350" t="s">
        <v>974</v>
      </c>
      <c r="C20" s="350">
        <v>5.0</v>
      </c>
      <c r="D20" s="351">
        <v>703.11</v>
      </c>
      <c r="E20" s="352">
        <v>2812.44</v>
      </c>
      <c r="F20" s="352">
        <v>3057.12</v>
      </c>
      <c r="G20" s="352">
        <v>17.58</v>
      </c>
      <c r="H20" s="353">
        <v>22.85</v>
      </c>
      <c r="I20" s="352">
        <v>26.37</v>
      </c>
    </row>
    <row r="21">
      <c r="A21" s="350" t="s">
        <v>979</v>
      </c>
      <c r="B21" s="350" t="s">
        <v>974</v>
      </c>
      <c r="C21" s="350">
        <v>6.0</v>
      </c>
      <c r="D21" s="351">
        <v>731.23</v>
      </c>
      <c r="E21" s="352">
        <v>2924.92</v>
      </c>
      <c r="F21" s="352">
        <v>3179.39</v>
      </c>
      <c r="G21" s="352">
        <v>18.28</v>
      </c>
      <c r="H21" s="353">
        <v>23.76</v>
      </c>
      <c r="I21" s="352">
        <v>27.42</v>
      </c>
    </row>
    <row r="22">
      <c r="A22" s="350" t="s">
        <v>980</v>
      </c>
      <c r="B22" s="350" t="s">
        <v>981</v>
      </c>
      <c r="C22" s="350">
        <v>1.0</v>
      </c>
      <c r="D22" s="351">
        <v>639.89</v>
      </c>
      <c r="E22" s="352">
        <v>2559.56</v>
      </c>
      <c r="F22" s="352">
        <v>2782.24</v>
      </c>
      <c r="G22" s="352">
        <v>16.0</v>
      </c>
      <c r="H22" s="353">
        <v>20.8</v>
      </c>
      <c r="I22" s="352">
        <v>24.0</v>
      </c>
    </row>
    <row r="23">
      <c r="A23" s="350" t="s">
        <v>982</v>
      </c>
      <c r="B23" s="350" t="s">
        <v>981</v>
      </c>
      <c r="C23" s="350">
        <v>2.0</v>
      </c>
      <c r="D23" s="351">
        <v>665.49</v>
      </c>
      <c r="E23" s="352">
        <v>2661.96</v>
      </c>
      <c r="F23" s="352">
        <v>2893.55</v>
      </c>
      <c r="G23" s="352">
        <v>16.64</v>
      </c>
      <c r="H23" s="353">
        <v>21.63</v>
      </c>
      <c r="I23" s="352">
        <v>24.96</v>
      </c>
    </row>
    <row r="24">
      <c r="A24" s="350" t="s">
        <v>983</v>
      </c>
      <c r="B24" s="350" t="s">
        <v>981</v>
      </c>
      <c r="C24" s="350">
        <v>3.0</v>
      </c>
      <c r="D24" s="351">
        <v>692.11</v>
      </c>
      <c r="E24" s="352">
        <v>2768.44</v>
      </c>
      <c r="F24" s="352">
        <v>3009.29</v>
      </c>
      <c r="G24" s="352">
        <v>17.3</v>
      </c>
      <c r="H24" s="353">
        <v>22.49</v>
      </c>
      <c r="I24" s="352">
        <v>25.95</v>
      </c>
    </row>
    <row r="25">
      <c r="A25" s="350" t="s">
        <v>984</v>
      </c>
      <c r="B25" s="350" t="s">
        <v>981</v>
      </c>
      <c r="C25" s="350">
        <v>4.0</v>
      </c>
      <c r="D25" s="351">
        <v>719.79</v>
      </c>
      <c r="E25" s="352">
        <v>2879.16</v>
      </c>
      <c r="F25" s="352">
        <v>3129.65</v>
      </c>
      <c r="G25" s="352">
        <v>17.99</v>
      </c>
      <c r="H25" s="353">
        <v>23.39</v>
      </c>
      <c r="I25" s="352">
        <v>26.99</v>
      </c>
    </row>
    <row r="26">
      <c r="A26" s="350" t="s">
        <v>62</v>
      </c>
      <c r="B26" s="350" t="s">
        <v>981</v>
      </c>
      <c r="C26" s="350">
        <v>5.0</v>
      </c>
      <c r="D26" s="351">
        <v>748.58</v>
      </c>
      <c r="E26" s="352">
        <v>2994.32</v>
      </c>
      <c r="F26" s="352">
        <v>3254.83</v>
      </c>
      <c r="G26" s="352">
        <v>18.71</v>
      </c>
      <c r="H26" s="353">
        <v>24.32</v>
      </c>
      <c r="I26" s="352">
        <v>28.07</v>
      </c>
    </row>
    <row r="27">
      <c r="A27" s="350" t="s">
        <v>985</v>
      </c>
      <c r="B27" s="350" t="s">
        <v>981</v>
      </c>
      <c r="C27" s="350">
        <v>6.0</v>
      </c>
      <c r="D27" s="351">
        <v>778.52</v>
      </c>
      <c r="E27" s="352">
        <v>3114.08</v>
      </c>
      <c r="F27" s="352">
        <v>3385.0</v>
      </c>
      <c r="G27" s="352">
        <v>19.46</v>
      </c>
      <c r="H27" s="353">
        <v>25.3</v>
      </c>
      <c r="I27" s="352">
        <v>29.19</v>
      </c>
    </row>
    <row r="28">
      <c r="A28" s="350" t="s">
        <v>986</v>
      </c>
      <c r="B28" s="350" t="s">
        <v>987</v>
      </c>
      <c r="C28" s="350">
        <v>1.0</v>
      </c>
      <c r="D28" s="351">
        <v>671.13</v>
      </c>
      <c r="E28" s="352">
        <v>2684.52</v>
      </c>
      <c r="F28" s="352">
        <v>2918.07</v>
      </c>
      <c r="G28" s="352">
        <v>16.78</v>
      </c>
      <c r="H28" s="353">
        <v>21.81</v>
      </c>
      <c r="I28" s="352">
        <v>25.17</v>
      </c>
    </row>
    <row r="29">
      <c r="A29" s="350" t="s">
        <v>988</v>
      </c>
      <c r="B29" s="350" t="s">
        <v>987</v>
      </c>
      <c r="C29" s="350">
        <v>2.0</v>
      </c>
      <c r="D29" s="351">
        <v>697.97</v>
      </c>
      <c r="E29" s="352">
        <v>2791.88</v>
      </c>
      <c r="F29" s="352">
        <v>3034.77</v>
      </c>
      <c r="G29" s="352">
        <v>17.45</v>
      </c>
      <c r="H29" s="353">
        <v>22.69</v>
      </c>
      <c r="I29" s="352">
        <v>26.18</v>
      </c>
    </row>
    <row r="30">
      <c r="A30" s="350" t="s">
        <v>989</v>
      </c>
      <c r="B30" s="350" t="s">
        <v>987</v>
      </c>
      <c r="C30" s="350">
        <v>3.0</v>
      </c>
      <c r="D30" s="351">
        <v>725.89</v>
      </c>
      <c r="E30" s="352">
        <v>2903.56</v>
      </c>
      <c r="F30" s="352">
        <v>3156.17</v>
      </c>
      <c r="G30" s="352">
        <v>18.15</v>
      </c>
      <c r="H30" s="353">
        <v>23.6</v>
      </c>
      <c r="I30" s="352">
        <v>27.23</v>
      </c>
    </row>
    <row r="31">
      <c r="A31" s="350" t="s">
        <v>990</v>
      </c>
      <c r="B31" s="350" t="s">
        <v>987</v>
      </c>
      <c r="C31" s="350">
        <v>4.0</v>
      </c>
      <c r="D31" s="351">
        <v>754.93</v>
      </c>
      <c r="E31" s="352">
        <v>3019.72</v>
      </c>
      <c r="F31" s="352">
        <v>3282.44</v>
      </c>
      <c r="G31" s="352">
        <v>18.87</v>
      </c>
      <c r="H31" s="353">
        <v>24.53</v>
      </c>
      <c r="I31" s="352">
        <v>28.31</v>
      </c>
    </row>
    <row r="32">
      <c r="A32" s="350" t="s">
        <v>991</v>
      </c>
      <c r="B32" s="350" t="s">
        <v>987</v>
      </c>
      <c r="C32" s="350">
        <v>5.0</v>
      </c>
      <c r="D32" s="351">
        <v>785.13</v>
      </c>
      <c r="E32" s="352">
        <v>3140.52</v>
      </c>
      <c r="F32" s="352">
        <v>3413.75</v>
      </c>
      <c r="G32" s="352">
        <v>19.63</v>
      </c>
      <c r="H32" s="353">
        <v>25.52</v>
      </c>
      <c r="I32" s="352">
        <v>29.45</v>
      </c>
    </row>
    <row r="33">
      <c r="A33" s="350" t="s">
        <v>992</v>
      </c>
      <c r="B33" s="350" t="s">
        <v>987</v>
      </c>
      <c r="C33" s="350">
        <v>6.0</v>
      </c>
      <c r="D33" s="351">
        <v>816.54</v>
      </c>
      <c r="E33" s="352">
        <v>3266.16</v>
      </c>
      <c r="F33" s="352">
        <v>3550.32</v>
      </c>
      <c r="G33" s="352">
        <v>20.41</v>
      </c>
      <c r="H33" s="353">
        <v>26.53</v>
      </c>
      <c r="I33" s="352">
        <v>30.62</v>
      </c>
    </row>
    <row r="34">
      <c r="A34" s="350" t="s">
        <v>993</v>
      </c>
      <c r="B34" s="350" t="s">
        <v>987</v>
      </c>
      <c r="C34" s="350">
        <v>7.0</v>
      </c>
      <c r="D34" s="351">
        <v>849.2</v>
      </c>
      <c r="E34" s="352">
        <v>3396.8</v>
      </c>
      <c r="F34" s="352">
        <v>3692.32</v>
      </c>
      <c r="G34" s="352">
        <v>21.23</v>
      </c>
      <c r="H34" s="353">
        <v>27.6</v>
      </c>
      <c r="I34" s="352">
        <v>31.85</v>
      </c>
    </row>
    <row r="35">
      <c r="A35" s="350" t="s">
        <v>994</v>
      </c>
      <c r="B35" s="350" t="s">
        <v>995</v>
      </c>
      <c r="C35" s="350">
        <v>1.0</v>
      </c>
      <c r="D35" s="351">
        <v>701.43</v>
      </c>
      <c r="E35" s="352">
        <v>2805.72</v>
      </c>
      <c r="F35" s="352">
        <v>3049.82</v>
      </c>
      <c r="G35" s="352">
        <v>17.54</v>
      </c>
      <c r="H35" s="353">
        <v>22.8</v>
      </c>
      <c r="I35" s="352">
        <v>26.31</v>
      </c>
    </row>
    <row r="36">
      <c r="A36" s="350" t="s">
        <v>996</v>
      </c>
      <c r="B36" s="350" t="s">
        <v>995</v>
      </c>
      <c r="C36" s="350">
        <v>2.0</v>
      </c>
      <c r="D36" s="351">
        <v>729.49</v>
      </c>
      <c r="E36" s="352">
        <v>2917.96</v>
      </c>
      <c r="F36" s="352">
        <v>3171.82</v>
      </c>
      <c r="G36" s="352">
        <v>18.24</v>
      </c>
      <c r="H36" s="353">
        <v>23.71</v>
      </c>
      <c r="I36" s="352">
        <v>27.36</v>
      </c>
    </row>
    <row r="37">
      <c r="A37" s="350" t="s">
        <v>997</v>
      </c>
      <c r="B37" s="350" t="s">
        <v>995</v>
      </c>
      <c r="C37" s="350">
        <v>3.0</v>
      </c>
      <c r="D37" s="351">
        <v>758.67</v>
      </c>
      <c r="E37" s="352">
        <v>3034.68</v>
      </c>
      <c r="F37" s="352">
        <v>3298.7</v>
      </c>
      <c r="G37" s="352">
        <v>18.97</v>
      </c>
      <c r="H37" s="353">
        <v>24.66</v>
      </c>
      <c r="I37" s="352">
        <v>28.46</v>
      </c>
    </row>
    <row r="38">
      <c r="A38" s="350" t="s">
        <v>998</v>
      </c>
      <c r="B38" s="350" t="s">
        <v>995</v>
      </c>
      <c r="C38" s="350">
        <v>4.0</v>
      </c>
      <c r="D38" s="351">
        <v>789.02</v>
      </c>
      <c r="E38" s="352">
        <v>3156.08</v>
      </c>
      <c r="F38" s="352">
        <v>3430.66</v>
      </c>
      <c r="G38" s="352">
        <v>19.73</v>
      </c>
      <c r="H38" s="353">
        <v>25.65</v>
      </c>
      <c r="I38" s="352">
        <v>29.6</v>
      </c>
    </row>
    <row r="39">
      <c r="A39" s="350" t="s">
        <v>999</v>
      </c>
      <c r="B39" s="350" t="s">
        <v>995</v>
      </c>
      <c r="C39" s="350">
        <v>5.0</v>
      </c>
      <c r="D39" s="351">
        <v>820.58</v>
      </c>
      <c r="E39" s="352">
        <v>3282.32</v>
      </c>
      <c r="F39" s="352">
        <v>3567.88</v>
      </c>
      <c r="G39" s="352">
        <v>20.51</v>
      </c>
      <c r="H39" s="353">
        <v>26.66</v>
      </c>
      <c r="I39" s="352">
        <v>30.77</v>
      </c>
    </row>
    <row r="40">
      <c r="A40" s="350" t="s">
        <v>1000</v>
      </c>
      <c r="B40" s="350" t="s">
        <v>995</v>
      </c>
      <c r="C40" s="350">
        <v>6.0</v>
      </c>
      <c r="D40" s="351">
        <v>853.4</v>
      </c>
      <c r="E40" s="352">
        <v>3413.6</v>
      </c>
      <c r="F40" s="352">
        <v>3710.58</v>
      </c>
      <c r="G40" s="352">
        <v>21.34</v>
      </c>
      <c r="H40" s="353">
        <v>27.74</v>
      </c>
      <c r="I40" s="352">
        <v>32.01</v>
      </c>
    </row>
    <row r="41">
      <c r="A41" s="350" t="s">
        <v>1001</v>
      </c>
      <c r="B41" s="350" t="s">
        <v>995</v>
      </c>
      <c r="C41" s="350">
        <v>7.0</v>
      </c>
      <c r="D41" s="351">
        <v>887.54</v>
      </c>
      <c r="E41" s="352">
        <v>3550.16</v>
      </c>
      <c r="F41" s="352">
        <v>3859.02</v>
      </c>
      <c r="G41" s="352">
        <v>22.19</v>
      </c>
      <c r="H41" s="353">
        <v>28.85</v>
      </c>
      <c r="I41" s="352">
        <v>33.29</v>
      </c>
    </row>
    <row r="42">
      <c r="A42" s="350" t="s">
        <v>1002</v>
      </c>
      <c r="B42" s="350" t="s">
        <v>995</v>
      </c>
      <c r="C42" s="350">
        <v>8.0</v>
      </c>
      <c r="D42" s="351">
        <v>923.04</v>
      </c>
      <c r="E42" s="352">
        <v>3692.16</v>
      </c>
      <c r="F42" s="352">
        <v>4013.38</v>
      </c>
      <c r="G42" s="352">
        <v>23.08</v>
      </c>
      <c r="H42" s="353">
        <v>30.0</v>
      </c>
      <c r="I42" s="352">
        <v>34.62</v>
      </c>
    </row>
    <row r="43">
      <c r="A43" s="350" t="s">
        <v>1003</v>
      </c>
      <c r="B43" s="350" t="s">
        <v>1004</v>
      </c>
      <c r="C43" s="350">
        <v>1.0</v>
      </c>
      <c r="D43" s="351">
        <v>741.01</v>
      </c>
      <c r="E43" s="352">
        <v>2964.04</v>
      </c>
      <c r="F43" s="352">
        <v>3221.91</v>
      </c>
      <c r="G43" s="352">
        <v>18.53</v>
      </c>
      <c r="H43" s="353">
        <v>24.09</v>
      </c>
      <c r="I43" s="352">
        <v>27.8</v>
      </c>
    </row>
    <row r="44">
      <c r="A44" s="350" t="s">
        <v>1005</v>
      </c>
      <c r="B44" s="350" t="s">
        <v>1004</v>
      </c>
      <c r="C44" s="350">
        <v>2.0</v>
      </c>
      <c r="D44" s="351">
        <v>770.65</v>
      </c>
      <c r="E44" s="352">
        <v>3082.6</v>
      </c>
      <c r="F44" s="352">
        <v>3350.79</v>
      </c>
      <c r="G44" s="352">
        <v>19.27</v>
      </c>
      <c r="H44" s="353">
        <v>25.05</v>
      </c>
      <c r="I44" s="352">
        <v>28.91</v>
      </c>
    </row>
    <row r="45">
      <c r="A45" s="350" t="s">
        <v>1006</v>
      </c>
      <c r="B45" s="350" t="s">
        <v>1004</v>
      </c>
      <c r="C45" s="350">
        <v>3.0</v>
      </c>
      <c r="D45" s="351">
        <v>801.48</v>
      </c>
      <c r="E45" s="352">
        <v>3205.92</v>
      </c>
      <c r="F45" s="352">
        <v>3484.84</v>
      </c>
      <c r="G45" s="352">
        <v>20.04</v>
      </c>
      <c r="H45" s="353">
        <v>26.05</v>
      </c>
      <c r="I45" s="352">
        <v>30.06</v>
      </c>
    </row>
    <row r="46">
      <c r="A46" s="350" t="s">
        <v>1007</v>
      </c>
      <c r="B46" s="350" t="s">
        <v>1004</v>
      </c>
      <c r="C46" s="350">
        <v>4.0</v>
      </c>
      <c r="D46" s="351">
        <v>833.54</v>
      </c>
      <c r="E46" s="352">
        <v>3334.16</v>
      </c>
      <c r="F46" s="352">
        <v>3624.23</v>
      </c>
      <c r="G46" s="352">
        <v>20.84</v>
      </c>
      <c r="H46" s="353">
        <v>27.09</v>
      </c>
      <c r="I46" s="352">
        <v>31.26</v>
      </c>
    </row>
    <row r="47">
      <c r="A47" s="350" t="s">
        <v>1008</v>
      </c>
      <c r="B47" s="350" t="s">
        <v>1004</v>
      </c>
      <c r="C47" s="350">
        <v>5.0</v>
      </c>
      <c r="D47" s="351">
        <v>866.88</v>
      </c>
      <c r="E47" s="352">
        <v>3467.52</v>
      </c>
      <c r="F47" s="352">
        <v>3769.19</v>
      </c>
      <c r="G47" s="352">
        <v>21.67</v>
      </c>
      <c r="H47" s="353">
        <v>28.17</v>
      </c>
      <c r="I47" s="352">
        <v>32.51</v>
      </c>
    </row>
    <row r="48">
      <c r="A48" s="350" t="s">
        <v>1009</v>
      </c>
      <c r="B48" s="350" t="s">
        <v>1004</v>
      </c>
      <c r="C48" s="350">
        <v>6.0</v>
      </c>
      <c r="D48" s="351">
        <v>901.55</v>
      </c>
      <c r="E48" s="352">
        <v>3606.2</v>
      </c>
      <c r="F48" s="352">
        <v>3919.94</v>
      </c>
      <c r="G48" s="352">
        <v>22.54</v>
      </c>
      <c r="H48" s="353">
        <v>29.3</v>
      </c>
      <c r="I48" s="352">
        <v>33.81</v>
      </c>
    </row>
    <row r="49">
      <c r="A49" s="350" t="s">
        <v>1010</v>
      </c>
      <c r="B49" s="350" t="s">
        <v>1004</v>
      </c>
      <c r="C49" s="350">
        <v>7.0</v>
      </c>
      <c r="D49" s="351">
        <v>937.61</v>
      </c>
      <c r="E49" s="352">
        <v>3750.44</v>
      </c>
      <c r="F49" s="352">
        <v>4076.73</v>
      </c>
      <c r="G49" s="352">
        <v>23.44</v>
      </c>
      <c r="H49" s="353">
        <v>30.47</v>
      </c>
      <c r="I49" s="352">
        <v>35.16</v>
      </c>
    </row>
    <row r="50">
      <c r="A50" s="350" t="s">
        <v>1011</v>
      </c>
      <c r="B50" s="350" t="s">
        <v>1004</v>
      </c>
      <c r="C50" s="350">
        <v>8.0</v>
      </c>
      <c r="D50" s="351">
        <v>975.11</v>
      </c>
      <c r="E50" s="352">
        <v>3900.44</v>
      </c>
      <c r="F50" s="352">
        <v>4239.78</v>
      </c>
      <c r="G50" s="352">
        <v>24.38</v>
      </c>
      <c r="H50" s="353">
        <v>31.69</v>
      </c>
      <c r="I50" s="352">
        <v>36.57</v>
      </c>
    </row>
    <row r="51">
      <c r="A51" s="350" t="s">
        <v>1012</v>
      </c>
      <c r="B51" s="350" t="s">
        <v>1004</v>
      </c>
      <c r="C51" s="350">
        <v>9.0</v>
      </c>
      <c r="D51" s="351">
        <v>1014.11</v>
      </c>
      <c r="E51" s="352">
        <v>4056.44</v>
      </c>
      <c r="F51" s="352">
        <v>4409.35</v>
      </c>
      <c r="G51" s="352">
        <v>25.35</v>
      </c>
      <c r="H51" s="353">
        <v>32.96</v>
      </c>
      <c r="I51" s="352">
        <v>38.03</v>
      </c>
    </row>
    <row r="52">
      <c r="A52" s="350" t="s">
        <v>1013</v>
      </c>
      <c r="B52" s="350" t="s">
        <v>1014</v>
      </c>
      <c r="C52" s="350">
        <v>1.0</v>
      </c>
      <c r="D52" s="351">
        <v>780.73</v>
      </c>
      <c r="E52" s="352">
        <v>3122.92</v>
      </c>
      <c r="F52" s="352">
        <v>3394.61</v>
      </c>
      <c r="G52" s="352">
        <v>19.52</v>
      </c>
      <c r="H52" s="353">
        <v>25.38</v>
      </c>
      <c r="I52" s="352">
        <v>29.28</v>
      </c>
    </row>
    <row r="53">
      <c r="A53" s="350" t="s">
        <v>1015</v>
      </c>
      <c r="B53" s="350" t="s">
        <v>1014</v>
      </c>
      <c r="C53" s="350">
        <v>2.0</v>
      </c>
      <c r="D53" s="351">
        <v>811.96</v>
      </c>
      <c r="E53" s="352">
        <v>3247.84</v>
      </c>
      <c r="F53" s="352">
        <v>3530.4</v>
      </c>
      <c r="G53" s="352">
        <v>20.3</v>
      </c>
      <c r="H53" s="353">
        <v>26.39</v>
      </c>
      <c r="I53" s="352">
        <v>30.45</v>
      </c>
    </row>
    <row r="54">
      <c r="A54" s="350" t="s">
        <v>1016</v>
      </c>
      <c r="B54" s="350" t="s">
        <v>1014</v>
      </c>
      <c r="C54" s="350">
        <v>3.0</v>
      </c>
      <c r="D54" s="351">
        <v>844.44</v>
      </c>
      <c r="E54" s="352">
        <v>3377.76</v>
      </c>
      <c r="F54" s="352">
        <v>3671.63</v>
      </c>
      <c r="G54" s="352">
        <v>21.11</v>
      </c>
      <c r="H54" s="353">
        <v>27.44</v>
      </c>
      <c r="I54" s="352">
        <v>31.67</v>
      </c>
    </row>
    <row r="55">
      <c r="A55" s="350" t="s">
        <v>1017</v>
      </c>
      <c r="B55" s="350" t="s">
        <v>1014</v>
      </c>
      <c r="C55" s="350">
        <v>4.0</v>
      </c>
      <c r="D55" s="351">
        <v>878.22</v>
      </c>
      <c r="E55" s="352">
        <v>3512.88</v>
      </c>
      <c r="F55" s="352">
        <v>3818.5</v>
      </c>
      <c r="G55" s="352">
        <v>21.96</v>
      </c>
      <c r="H55" s="353">
        <v>28.55</v>
      </c>
      <c r="I55" s="352">
        <v>32.94</v>
      </c>
    </row>
    <row r="56">
      <c r="A56" s="350" t="s">
        <v>1018</v>
      </c>
      <c r="B56" s="350" t="s">
        <v>1014</v>
      </c>
      <c r="C56" s="350">
        <v>5.0</v>
      </c>
      <c r="D56" s="351">
        <v>913.35</v>
      </c>
      <c r="E56" s="352">
        <v>3653.4</v>
      </c>
      <c r="F56" s="352">
        <v>3971.25</v>
      </c>
      <c r="G56" s="352">
        <v>22.83</v>
      </c>
      <c r="H56" s="353">
        <v>29.68</v>
      </c>
      <c r="I56" s="352">
        <v>34.25</v>
      </c>
    </row>
    <row r="57">
      <c r="A57" s="350" t="s">
        <v>1019</v>
      </c>
      <c r="B57" s="350" t="s">
        <v>1014</v>
      </c>
      <c r="C57" s="350">
        <v>6.0</v>
      </c>
      <c r="D57" s="351">
        <v>949.88</v>
      </c>
      <c r="E57" s="352">
        <v>3799.52</v>
      </c>
      <c r="F57" s="352">
        <v>4130.08</v>
      </c>
      <c r="G57" s="352">
        <v>23.75</v>
      </c>
      <c r="H57" s="353">
        <v>30.88</v>
      </c>
      <c r="I57" s="352">
        <v>35.63</v>
      </c>
    </row>
    <row r="58">
      <c r="A58" s="350" t="s">
        <v>1020</v>
      </c>
      <c r="B58" s="350" t="s">
        <v>1014</v>
      </c>
      <c r="C58" s="350">
        <v>7.0</v>
      </c>
      <c r="D58" s="351">
        <v>987.87</v>
      </c>
      <c r="E58" s="352">
        <v>3951.48</v>
      </c>
      <c r="F58" s="352">
        <v>4295.26</v>
      </c>
      <c r="G58" s="352">
        <v>24.7</v>
      </c>
      <c r="H58" s="353">
        <v>32.11</v>
      </c>
      <c r="I58" s="352">
        <v>37.05</v>
      </c>
    </row>
    <row r="59">
      <c r="A59" s="350" t="s">
        <v>1021</v>
      </c>
      <c r="B59" s="350" t="s">
        <v>1014</v>
      </c>
      <c r="C59" s="350">
        <v>8.0</v>
      </c>
      <c r="D59" s="351">
        <v>1027.38</v>
      </c>
      <c r="E59" s="352">
        <v>4109.52</v>
      </c>
      <c r="F59" s="352">
        <v>4467.05</v>
      </c>
      <c r="G59" s="352">
        <v>25.68</v>
      </c>
      <c r="H59" s="353">
        <v>33.38</v>
      </c>
      <c r="I59" s="352">
        <v>38.52</v>
      </c>
    </row>
    <row r="60">
      <c r="A60" s="350" t="s">
        <v>1022</v>
      </c>
      <c r="B60" s="350" t="s">
        <v>1014</v>
      </c>
      <c r="C60" s="350">
        <v>9.0</v>
      </c>
      <c r="D60" s="351">
        <v>1068.48</v>
      </c>
      <c r="E60" s="352">
        <v>4273.92</v>
      </c>
      <c r="F60" s="352">
        <v>4645.75</v>
      </c>
      <c r="G60" s="352">
        <v>26.71</v>
      </c>
      <c r="H60" s="353">
        <v>34.72</v>
      </c>
      <c r="I60" s="352">
        <v>40.07</v>
      </c>
    </row>
    <row r="61">
      <c r="A61" s="350" t="s">
        <v>1023</v>
      </c>
      <c r="B61" s="350" t="s">
        <v>1014</v>
      </c>
      <c r="C61" s="350">
        <v>10.0</v>
      </c>
      <c r="D61" s="351">
        <v>1111.22</v>
      </c>
      <c r="E61" s="352">
        <v>4444.88</v>
      </c>
      <c r="F61" s="352">
        <v>4831.58</v>
      </c>
      <c r="G61" s="352">
        <v>27.78</v>
      </c>
      <c r="H61" s="353">
        <v>36.11</v>
      </c>
      <c r="I61" s="352">
        <v>41.67</v>
      </c>
    </row>
  </sheetData>
  <mergeCells count="3">
    <mergeCell ref="A1:I1"/>
    <mergeCell ref="D2:E2"/>
    <mergeCell ref="G2:H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54">
        <v>1.0</v>
      </c>
      <c r="B2" s="354">
        <v>0.0</v>
      </c>
      <c r="C2" s="354">
        <v>16.0</v>
      </c>
      <c r="D2" s="147" t="s">
        <v>1024</v>
      </c>
      <c r="E2" s="147" t="s">
        <v>1025</v>
      </c>
    </row>
    <row r="3">
      <c r="A3" s="354">
        <v>2.0</v>
      </c>
      <c r="B3" s="354">
        <v>17.0</v>
      </c>
      <c r="C3" s="354">
        <v>18.0</v>
      </c>
      <c r="D3" s="147" t="s">
        <v>1026</v>
      </c>
      <c r="E3" s="147" t="s">
        <v>1027</v>
      </c>
    </row>
    <row r="4">
      <c r="A4" s="354">
        <v>3.0</v>
      </c>
      <c r="B4" s="354">
        <v>19.0</v>
      </c>
      <c r="C4" s="354">
        <v>39.0</v>
      </c>
      <c r="D4" s="147" t="s">
        <v>79</v>
      </c>
      <c r="E4" s="147" t="s">
        <v>1028</v>
      </c>
    </row>
    <row r="5">
      <c r="A5" s="354">
        <v>4.0</v>
      </c>
      <c r="B5" s="354">
        <v>40.0</v>
      </c>
      <c r="C5" s="354">
        <v>44.0</v>
      </c>
      <c r="D5" s="147" t="s">
        <v>1029</v>
      </c>
      <c r="E5" s="147" t="s">
        <v>1028</v>
      </c>
    </row>
    <row r="6">
      <c r="A6" s="354">
        <v>5.0</v>
      </c>
      <c r="B6" s="354">
        <v>45.0</v>
      </c>
      <c r="C6" s="354">
        <v>49.0</v>
      </c>
      <c r="D6" s="147" t="s">
        <v>1030</v>
      </c>
      <c r="E6" s="147" t="s">
        <v>1031</v>
      </c>
    </row>
    <row r="7">
      <c r="A7" s="354">
        <v>6.0</v>
      </c>
      <c r="B7" s="354">
        <v>50.0</v>
      </c>
      <c r="C7" s="354">
        <v>54.0</v>
      </c>
      <c r="D7" s="147" t="s">
        <v>1032</v>
      </c>
      <c r="E7" s="147" t="s">
        <v>1033</v>
      </c>
    </row>
    <row r="8">
      <c r="A8" s="354">
        <v>7.0</v>
      </c>
      <c r="B8" s="354">
        <v>55.0</v>
      </c>
      <c r="C8" s="354">
        <v>59.0</v>
      </c>
      <c r="D8" s="147" t="s">
        <v>1034</v>
      </c>
      <c r="E8" s="147" t="s">
        <v>1035</v>
      </c>
    </row>
    <row r="9">
      <c r="A9" s="354">
        <v>8.0</v>
      </c>
      <c r="B9" s="354">
        <v>60.0</v>
      </c>
      <c r="C9" s="354">
        <v>140.0</v>
      </c>
      <c r="D9" s="147" t="s">
        <v>1036</v>
      </c>
      <c r="E9" s="147" t="s">
        <v>1037</v>
      </c>
    </row>
    <row r="13">
      <c r="A13" s="355" t="s">
        <v>1038</v>
      </c>
      <c r="B13" s="329" t="s">
        <v>1037</v>
      </c>
    </row>
    <row r="14">
      <c r="A14" s="355" t="s">
        <v>1026</v>
      </c>
      <c r="B14" s="329" t="s">
        <v>1033</v>
      </c>
    </row>
    <row r="15">
      <c r="A15" s="355" t="s">
        <v>79</v>
      </c>
      <c r="B15" s="329" t="s">
        <v>1028</v>
      </c>
    </row>
    <row r="16">
      <c r="A16" s="355" t="s">
        <v>1029</v>
      </c>
      <c r="B16" s="329" t="s">
        <v>1028</v>
      </c>
    </row>
    <row r="17">
      <c r="A17" s="355" t="s">
        <v>1030</v>
      </c>
      <c r="B17" s="329" t="s">
        <v>1031</v>
      </c>
    </row>
    <row r="18">
      <c r="A18" s="355" t="s">
        <v>1032</v>
      </c>
      <c r="B18" s="329" t="s">
        <v>1033</v>
      </c>
    </row>
    <row r="19">
      <c r="A19" s="355" t="s">
        <v>1034</v>
      </c>
      <c r="B19" s="329" t="s">
        <v>1035</v>
      </c>
    </row>
    <row r="20">
      <c r="A20" s="355" t="s">
        <v>1039</v>
      </c>
      <c r="B20" s="329" t="s">
        <v>1037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6.38"/>
  </cols>
  <sheetData>
    <row r="1">
      <c r="A1" s="356" t="s">
        <v>1040</v>
      </c>
      <c r="B1" s="356" t="s">
        <v>1041</v>
      </c>
      <c r="C1" s="356" t="s">
        <v>1042</v>
      </c>
      <c r="D1" s="356" t="s">
        <v>1043</v>
      </c>
      <c r="E1" s="356" t="s">
        <v>1044</v>
      </c>
      <c r="F1" s="356" t="s">
        <v>1045</v>
      </c>
      <c r="G1" s="356" t="s">
        <v>1046</v>
      </c>
      <c r="H1" s="356" t="s">
        <v>1047</v>
      </c>
      <c r="I1" s="357" t="s">
        <v>1048</v>
      </c>
      <c r="J1" s="356" t="s">
        <v>1049</v>
      </c>
      <c r="K1" s="356" t="s">
        <v>1050</v>
      </c>
      <c r="L1" s="356" t="s">
        <v>1051</v>
      </c>
      <c r="M1" s="356" t="s">
        <v>1052</v>
      </c>
      <c r="N1" s="356" t="s">
        <v>1053</v>
      </c>
      <c r="O1" s="356" t="s">
        <v>1054</v>
      </c>
    </row>
    <row r="2">
      <c r="A2" s="358" t="s">
        <v>1055</v>
      </c>
      <c r="B2" s="358">
        <v>1333.0</v>
      </c>
      <c r="C2" s="358" t="s">
        <v>1056</v>
      </c>
      <c r="D2" s="359">
        <v>34490.0</v>
      </c>
      <c r="E2" s="358">
        <v>6.94524268E8</v>
      </c>
      <c r="F2" s="358" t="s">
        <v>1057</v>
      </c>
      <c r="G2" s="360" t="s">
        <v>1058</v>
      </c>
      <c r="H2" s="358" t="s">
        <v>1059</v>
      </c>
      <c r="I2" s="361" t="s">
        <v>1060</v>
      </c>
      <c r="J2" s="358">
        <v>8.5495239E7</v>
      </c>
      <c r="K2" s="358" t="s">
        <v>1061</v>
      </c>
      <c r="L2" s="358" t="s">
        <v>1062</v>
      </c>
      <c r="M2" s="358" t="s">
        <v>1063</v>
      </c>
      <c r="N2" s="358" t="s">
        <v>1064</v>
      </c>
      <c r="O2" s="358" t="s">
        <v>1065</v>
      </c>
    </row>
    <row r="3">
      <c r="A3" s="358" t="s">
        <v>106</v>
      </c>
      <c r="B3" s="358">
        <v>1074.0</v>
      </c>
      <c r="C3" s="358" t="s">
        <v>1066</v>
      </c>
      <c r="D3" s="359">
        <v>28527.0</v>
      </c>
      <c r="E3" s="358">
        <v>6.7325357E8</v>
      </c>
      <c r="F3" s="358" t="s">
        <v>1067</v>
      </c>
      <c r="G3" s="360" t="s">
        <v>1058</v>
      </c>
      <c r="H3" s="358" t="s">
        <v>1068</v>
      </c>
      <c r="I3" s="362" t="s">
        <v>1069</v>
      </c>
      <c r="J3" s="358">
        <v>8.2225443E7</v>
      </c>
      <c r="K3" s="358" t="s">
        <v>1061</v>
      </c>
      <c r="L3" s="358" t="s">
        <v>1070</v>
      </c>
      <c r="M3" s="358" t="s">
        <v>1063</v>
      </c>
      <c r="N3" s="358" t="s">
        <v>1071</v>
      </c>
      <c r="O3" s="358" t="s">
        <v>1072</v>
      </c>
    </row>
    <row r="4">
      <c r="A4" s="358" t="s">
        <v>1073</v>
      </c>
      <c r="B4" s="358">
        <v>923.0</v>
      </c>
      <c r="C4" s="358" t="s">
        <v>1074</v>
      </c>
      <c r="D4" s="359">
        <v>27306.0</v>
      </c>
      <c r="E4" s="358">
        <v>4.54395681E8</v>
      </c>
      <c r="F4" s="358" t="s">
        <v>1075</v>
      </c>
      <c r="G4" s="360" t="s">
        <v>1058</v>
      </c>
      <c r="H4" s="358" t="s">
        <v>1076</v>
      </c>
      <c r="I4" s="362" t="s">
        <v>1077</v>
      </c>
      <c r="J4" s="358">
        <v>7.6889084E7</v>
      </c>
      <c r="K4" s="358" t="s">
        <v>1061</v>
      </c>
      <c r="L4" s="358" t="s">
        <v>1078</v>
      </c>
      <c r="M4" s="358" t="s">
        <v>1063</v>
      </c>
      <c r="N4" s="358" t="s">
        <v>1079</v>
      </c>
      <c r="O4" s="358" t="s">
        <v>1080</v>
      </c>
    </row>
    <row r="5">
      <c r="A5" s="358" t="s">
        <v>1081</v>
      </c>
      <c r="B5" s="358">
        <v>1583.0</v>
      </c>
      <c r="C5" s="358" t="s">
        <v>1082</v>
      </c>
      <c r="D5" s="359">
        <v>32036.0</v>
      </c>
      <c r="E5" s="358">
        <v>6.0858057E8</v>
      </c>
      <c r="F5" s="358" t="s">
        <v>1083</v>
      </c>
      <c r="G5" s="360" t="s">
        <v>1058</v>
      </c>
      <c r="H5" s="358" t="s">
        <v>1084</v>
      </c>
      <c r="I5" s="362" t="s">
        <v>1085</v>
      </c>
      <c r="J5" s="358">
        <v>9.2756778E7</v>
      </c>
      <c r="K5" s="358" t="s">
        <v>1061</v>
      </c>
      <c r="L5" s="358" t="s">
        <v>1086</v>
      </c>
      <c r="M5" s="358" t="s">
        <v>1063</v>
      </c>
      <c r="N5" s="358" t="s">
        <v>1087</v>
      </c>
      <c r="O5" s="358" t="s">
        <v>1088</v>
      </c>
    </row>
    <row r="6">
      <c r="A6" s="358" t="s">
        <v>1089</v>
      </c>
      <c r="B6" s="358">
        <v>672.0</v>
      </c>
      <c r="C6" s="358" t="s">
        <v>1090</v>
      </c>
      <c r="D6" s="359">
        <v>32662.0</v>
      </c>
      <c r="E6" s="358">
        <v>3.95720655E8</v>
      </c>
      <c r="F6" s="358" t="s">
        <v>1091</v>
      </c>
      <c r="G6" s="360" t="s">
        <v>1058</v>
      </c>
      <c r="H6" s="358" t="s">
        <v>1092</v>
      </c>
      <c r="I6" s="362" t="s">
        <v>1093</v>
      </c>
      <c r="J6" s="358">
        <v>7.3604445E7</v>
      </c>
      <c r="K6" s="358" t="s">
        <v>1061</v>
      </c>
      <c r="L6" s="358" t="s">
        <v>1094</v>
      </c>
      <c r="M6" s="358" t="s">
        <v>1063</v>
      </c>
      <c r="N6" s="358" t="s">
        <v>1095</v>
      </c>
      <c r="O6" s="358" t="s">
        <v>1096</v>
      </c>
    </row>
    <row r="7">
      <c r="A7" s="358" t="s">
        <v>1097</v>
      </c>
      <c r="B7" s="358">
        <v>698.0</v>
      </c>
      <c r="C7" s="358" t="s">
        <v>1098</v>
      </c>
      <c r="D7" s="359">
        <v>29473.0</v>
      </c>
      <c r="E7" s="358">
        <v>5.65284769E8</v>
      </c>
      <c r="F7" s="358" t="s">
        <v>1099</v>
      </c>
      <c r="G7" s="360" t="s">
        <v>1058</v>
      </c>
      <c r="H7" s="358" t="s">
        <v>1100</v>
      </c>
      <c r="I7" s="362" t="s">
        <v>1101</v>
      </c>
      <c r="J7" s="358">
        <v>7.383511E7</v>
      </c>
      <c r="K7" s="358" t="s">
        <v>1102</v>
      </c>
      <c r="L7" s="358" t="s">
        <v>1103</v>
      </c>
      <c r="M7" s="358" t="s">
        <v>1063</v>
      </c>
      <c r="N7" s="358" t="s">
        <v>1104</v>
      </c>
      <c r="O7" s="358" t="s">
        <v>1105</v>
      </c>
    </row>
    <row r="8">
      <c r="A8" s="358" t="s">
        <v>1106</v>
      </c>
      <c r="B8" s="358">
        <v>1680.0</v>
      </c>
      <c r="C8" s="358" t="s">
        <v>1107</v>
      </c>
      <c r="D8" s="359">
        <v>31064.0</v>
      </c>
      <c r="E8" s="358">
        <v>3.98790942E8</v>
      </c>
      <c r="F8" s="358" t="s">
        <v>1108</v>
      </c>
      <c r="G8" s="360" t="s">
        <v>1058</v>
      </c>
      <c r="H8" s="358" t="s">
        <v>1109</v>
      </c>
      <c r="I8" s="362" t="s">
        <v>1110</v>
      </c>
      <c r="J8" s="358">
        <v>8.9949382E7</v>
      </c>
      <c r="K8" s="358" t="s">
        <v>1061</v>
      </c>
      <c r="L8" s="358" t="s">
        <v>1111</v>
      </c>
      <c r="M8" s="358" t="s">
        <v>1063</v>
      </c>
      <c r="N8" s="358" t="s">
        <v>1112</v>
      </c>
      <c r="O8" s="358" t="s">
        <v>1113</v>
      </c>
    </row>
    <row r="9">
      <c r="A9" s="358" t="s">
        <v>1114</v>
      </c>
      <c r="B9" s="358">
        <v>513.0</v>
      </c>
      <c r="C9" s="358" t="s">
        <v>1115</v>
      </c>
      <c r="D9" s="359">
        <v>29558.0</v>
      </c>
      <c r="E9" s="358">
        <v>5.45568912E8</v>
      </c>
      <c r="F9" s="358" t="s">
        <v>1116</v>
      </c>
      <c r="G9" s="360" t="s">
        <v>1058</v>
      </c>
      <c r="H9" s="358" t="s">
        <v>1117</v>
      </c>
      <c r="I9" s="362" t="s">
        <v>1118</v>
      </c>
      <c r="J9" s="358">
        <v>7.0947279E7</v>
      </c>
      <c r="K9" s="358" t="s">
        <v>1061</v>
      </c>
      <c r="L9" s="358" t="s">
        <v>1119</v>
      </c>
      <c r="M9" s="358" t="s">
        <v>1063</v>
      </c>
      <c r="N9" s="358" t="s">
        <v>1120</v>
      </c>
      <c r="O9" s="358" t="s">
        <v>1121</v>
      </c>
    </row>
    <row r="10">
      <c r="A10" s="358" t="s">
        <v>1122</v>
      </c>
      <c r="B10" s="358">
        <v>1541.0</v>
      </c>
      <c r="C10" s="358" t="s">
        <v>1123</v>
      </c>
      <c r="D10" s="359">
        <v>37883.0</v>
      </c>
      <c r="E10" s="358">
        <v>6.64233387E8</v>
      </c>
      <c r="F10" s="358" t="s">
        <v>1124</v>
      </c>
      <c r="G10" s="360" t="s">
        <v>1058</v>
      </c>
      <c r="H10" s="358" t="s">
        <v>1125</v>
      </c>
      <c r="I10" s="362" t="s">
        <v>1126</v>
      </c>
      <c r="J10" s="358">
        <v>9.1673569E7</v>
      </c>
      <c r="K10" s="358" t="s">
        <v>1061</v>
      </c>
      <c r="L10" s="358" t="s">
        <v>1127</v>
      </c>
      <c r="M10" s="358" t="s">
        <v>1063</v>
      </c>
      <c r="N10" s="358" t="s">
        <v>1128</v>
      </c>
      <c r="O10" s="358" t="s">
        <v>1129</v>
      </c>
    </row>
    <row r="11">
      <c r="A11" s="358" t="s">
        <v>1130</v>
      </c>
      <c r="B11" s="358">
        <v>1008.0</v>
      </c>
      <c r="C11" s="358" t="s">
        <v>1131</v>
      </c>
      <c r="D11" s="359">
        <v>31271.0</v>
      </c>
      <c r="E11" s="358">
        <v>3.6098494E8</v>
      </c>
      <c r="F11" s="358" t="s">
        <v>1132</v>
      </c>
      <c r="G11" s="360" t="s">
        <v>1058</v>
      </c>
      <c r="H11" s="358" t="s">
        <v>1133</v>
      </c>
      <c r="I11" s="362" t="s">
        <v>1134</v>
      </c>
      <c r="J11" s="358">
        <v>7.8629713E7</v>
      </c>
      <c r="K11" s="358" t="s">
        <v>1061</v>
      </c>
      <c r="L11" s="358" t="s">
        <v>1135</v>
      </c>
      <c r="M11" s="358" t="s">
        <v>1063</v>
      </c>
      <c r="N11" s="358" t="s">
        <v>1136</v>
      </c>
      <c r="O11" s="358" t="s">
        <v>1080</v>
      </c>
    </row>
    <row r="12">
      <c r="A12" s="358" t="s">
        <v>1137</v>
      </c>
      <c r="B12" s="358">
        <v>9.0</v>
      </c>
      <c r="C12" s="358" t="s">
        <v>1138</v>
      </c>
      <c r="D12" s="359">
        <v>26169.0</v>
      </c>
      <c r="E12" s="358">
        <v>4.25616083E8</v>
      </c>
      <c r="F12" s="358" t="s">
        <v>1139</v>
      </c>
      <c r="G12" s="360" t="s">
        <v>1058</v>
      </c>
      <c r="H12" s="358" t="s">
        <v>1140</v>
      </c>
      <c r="I12" s="362" t="s">
        <v>1141</v>
      </c>
      <c r="J12" s="358">
        <v>5.6661371E7</v>
      </c>
      <c r="K12" s="358" t="s">
        <v>1061</v>
      </c>
      <c r="L12" s="358" t="s">
        <v>1142</v>
      </c>
      <c r="M12" s="358" t="s">
        <v>1063</v>
      </c>
      <c r="N12" s="358" t="s">
        <v>1143</v>
      </c>
      <c r="O12" s="358" t="s">
        <v>1144</v>
      </c>
    </row>
    <row r="13">
      <c r="A13" s="358" t="s">
        <v>1145</v>
      </c>
      <c r="B13" s="358">
        <v>902.0</v>
      </c>
      <c r="C13" s="358" t="s">
        <v>1146</v>
      </c>
      <c r="D13" s="359">
        <v>25518.0</v>
      </c>
      <c r="E13" s="358">
        <v>2.55501377E8</v>
      </c>
      <c r="F13" s="358" t="s">
        <v>1147</v>
      </c>
      <c r="G13" s="360" t="s">
        <v>1058</v>
      </c>
      <c r="H13" s="358" t="s">
        <v>1148</v>
      </c>
      <c r="I13" s="362" t="s">
        <v>1149</v>
      </c>
      <c r="J13" s="358">
        <v>5.9682132E7</v>
      </c>
      <c r="K13" s="358" t="s">
        <v>1061</v>
      </c>
      <c r="L13" s="358" t="s">
        <v>1150</v>
      </c>
      <c r="M13" s="358" t="s">
        <v>1151</v>
      </c>
      <c r="N13" s="358" t="s">
        <v>1152</v>
      </c>
      <c r="O13" s="358" t="s">
        <v>1153</v>
      </c>
    </row>
    <row r="14">
      <c r="A14" s="358" t="s">
        <v>1154</v>
      </c>
      <c r="B14" s="358">
        <v>685.0</v>
      </c>
      <c r="C14" s="358" t="s">
        <v>1155</v>
      </c>
      <c r="D14" s="359">
        <v>26298.0</v>
      </c>
      <c r="E14" s="358">
        <v>6.11922071E8</v>
      </c>
      <c r="F14" s="358" t="s">
        <v>1139</v>
      </c>
      <c r="G14" s="360" t="s">
        <v>1058</v>
      </c>
      <c r="H14" s="358" t="s">
        <v>1140</v>
      </c>
      <c r="I14" s="362" t="s">
        <v>1156</v>
      </c>
      <c r="J14" s="358">
        <v>7.3721948E7</v>
      </c>
      <c r="K14" s="358" t="s">
        <v>1061</v>
      </c>
      <c r="L14" s="358" t="s">
        <v>1157</v>
      </c>
      <c r="M14" s="358" t="s">
        <v>1151</v>
      </c>
      <c r="N14" s="358" t="s">
        <v>1158</v>
      </c>
      <c r="O14" s="358" t="s">
        <v>1159</v>
      </c>
    </row>
    <row r="15">
      <c r="A15" s="358" t="s">
        <v>1160</v>
      </c>
      <c r="B15" s="358">
        <v>426.0</v>
      </c>
      <c r="C15" s="358" t="s">
        <v>1155</v>
      </c>
      <c r="D15" s="359">
        <v>30130.0</v>
      </c>
      <c r="E15" s="358">
        <v>6.55200046E8</v>
      </c>
      <c r="F15" s="358" t="s">
        <v>1161</v>
      </c>
      <c r="G15" s="360" t="s">
        <v>1058</v>
      </c>
      <c r="H15" s="358" t="s">
        <v>1162</v>
      </c>
      <c r="I15" s="362" t="s">
        <v>1163</v>
      </c>
      <c r="J15" s="358">
        <v>6.9009449E7</v>
      </c>
      <c r="K15" s="358" t="s">
        <v>1061</v>
      </c>
      <c r="L15" s="358" t="s">
        <v>1164</v>
      </c>
      <c r="M15" s="358" t="s">
        <v>1063</v>
      </c>
      <c r="N15" s="358" t="s">
        <v>1165</v>
      </c>
      <c r="O15" s="358" t="s">
        <v>1166</v>
      </c>
    </row>
    <row r="16">
      <c r="A16" s="358" t="s">
        <v>1167</v>
      </c>
      <c r="B16" s="358">
        <v>1287.0</v>
      </c>
      <c r="C16" s="358" t="s">
        <v>1168</v>
      </c>
      <c r="D16" s="359">
        <v>25568.0</v>
      </c>
      <c r="E16" s="358">
        <v>3.00877559E8</v>
      </c>
      <c r="F16" s="358" t="s">
        <v>1169</v>
      </c>
      <c r="G16" s="360" t="s">
        <v>1058</v>
      </c>
      <c r="H16" s="358" t="s">
        <v>1170</v>
      </c>
      <c r="I16" s="362" t="s">
        <v>1171</v>
      </c>
      <c r="J16" s="358">
        <v>8.4361662E7</v>
      </c>
      <c r="K16" s="358" t="s">
        <v>1061</v>
      </c>
      <c r="L16" s="358" t="s">
        <v>1172</v>
      </c>
      <c r="M16" s="358" t="s">
        <v>1063</v>
      </c>
      <c r="N16" s="358" t="s">
        <v>1173</v>
      </c>
      <c r="O16" s="358" t="s">
        <v>1174</v>
      </c>
    </row>
    <row r="17">
      <c r="A17" s="358" t="s">
        <v>1175</v>
      </c>
      <c r="B17" s="358">
        <v>827.0</v>
      </c>
      <c r="C17" s="358" t="s">
        <v>1176</v>
      </c>
      <c r="D17" s="359">
        <v>26046.0</v>
      </c>
      <c r="E17" s="358">
        <v>6.22062669E8</v>
      </c>
      <c r="F17" s="358" t="s">
        <v>1177</v>
      </c>
      <c r="G17" s="360" t="s">
        <v>1058</v>
      </c>
      <c r="H17" s="358" t="s">
        <v>1178</v>
      </c>
      <c r="I17" s="362" t="s">
        <v>1179</v>
      </c>
      <c r="J17" s="358">
        <v>7.5438445E7</v>
      </c>
      <c r="K17" s="358" t="s">
        <v>1061</v>
      </c>
      <c r="L17" s="358" t="s">
        <v>1180</v>
      </c>
      <c r="M17" s="358" t="s">
        <v>1063</v>
      </c>
      <c r="N17" s="358" t="s">
        <v>1181</v>
      </c>
      <c r="O17" s="358" t="s">
        <v>1182</v>
      </c>
    </row>
    <row r="18">
      <c r="A18" s="358" t="s">
        <v>1183</v>
      </c>
      <c r="B18" s="358">
        <v>1715.0</v>
      </c>
      <c r="C18" s="358" t="s">
        <v>1123</v>
      </c>
      <c r="D18" s="359">
        <v>28370.0</v>
      </c>
      <c r="E18" s="358">
        <v>2.67054762E8</v>
      </c>
      <c r="F18" s="358" t="s">
        <v>1184</v>
      </c>
      <c r="G18" s="360" t="s">
        <v>1058</v>
      </c>
      <c r="H18" s="358" t="s">
        <v>1185</v>
      </c>
      <c r="I18" s="362" t="s">
        <v>1186</v>
      </c>
      <c r="J18" s="358">
        <v>9.7672475E7</v>
      </c>
      <c r="K18" s="358" t="s">
        <v>1187</v>
      </c>
      <c r="L18" s="358" t="s">
        <v>1188</v>
      </c>
      <c r="M18" s="358" t="s">
        <v>1063</v>
      </c>
      <c r="N18" s="358" t="s">
        <v>1189</v>
      </c>
      <c r="O18" s="358" t="s">
        <v>1190</v>
      </c>
    </row>
    <row r="19">
      <c r="A19" s="358" t="s">
        <v>1191</v>
      </c>
      <c r="B19" s="358">
        <v>1168.0</v>
      </c>
      <c r="C19" s="358" t="s">
        <v>1066</v>
      </c>
      <c r="D19" s="359">
        <v>33057.0</v>
      </c>
      <c r="E19" s="358">
        <v>5.15717435E8</v>
      </c>
      <c r="F19" s="358" t="s">
        <v>1192</v>
      </c>
      <c r="G19" s="360" t="s">
        <v>1058</v>
      </c>
      <c r="H19" s="358" t="s">
        <v>1193</v>
      </c>
      <c r="I19" s="362" t="s">
        <v>1194</v>
      </c>
      <c r="J19" s="358">
        <v>8.2642044E7</v>
      </c>
      <c r="K19" s="358" t="s">
        <v>1061</v>
      </c>
      <c r="L19" s="358" t="s">
        <v>1195</v>
      </c>
      <c r="M19" s="358" t="s">
        <v>1063</v>
      </c>
      <c r="N19" s="358" t="s">
        <v>1196</v>
      </c>
      <c r="O19" s="358" t="s">
        <v>1197</v>
      </c>
    </row>
    <row r="20">
      <c r="A20" s="358" t="s">
        <v>1198</v>
      </c>
      <c r="B20" s="358">
        <v>589.0</v>
      </c>
      <c r="C20" s="358" t="s">
        <v>1199</v>
      </c>
      <c r="D20" s="359">
        <v>26436.0</v>
      </c>
      <c r="E20" s="358">
        <v>3.30857848E8</v>
      </c>
      <c r="F20" s="358" t="s">
        <v>1200</v>
      </c>
      <c r="G20" s="360" t="s">
        <v>1058</v>
      </c>
      <c r="H20" s="358" t="s">
        <v>1201</v>
      </c>
      <c r="I20" s="362" t="s">
        <v>1202</v>
      </c>
      <c r="J20" s="358">
        <v>7.1731792E7</v>
      </c>
      <c r="K20" s="358" t="s">
        <v>1061</v>
      </c>
      <c r="L20" s="358" t="s">
        <v>1203</v>
      </c>
      <c r="M20" s="358" t="s">
        <v>1063</v>
      </c>
      <c r="N20" s="358" t="s">
        <v>1204</v>
      </c>
      <c r="O20" s="358" t="s">
        <v>1205</v>
      </c>
    </row>
    <row r="21">
      <c r="A21" s="358" t="s">
        <v>1206</v>
      </c>
      <c r="B21" s="358">
        <v>133.0</v>
      </c>
      <c r="C21" s="358" t="s">
        <v>1199</v>
      </c>
      <c r="D21" s="359">
        <v>30762.0</v>
      </c>
      <c r="E21" s="358">
        <v>3.23804615E8</v>
      </c>
      <c r="F21" s="358" t="s">
        <v>1207</v>
      </c>
      <c r="G21" s="360" t="s">
        <v>1058</v>
      </c>
      <c r="H21" s="358" t="s">
        <v>1208</v>
      </c>
      <c r="I21" s="362" t="s">
        <v>1209</v>
      </c>
      <c r="J21" s="358">
        <v>6.1601802E7</v>
      </c>
      <c r="K21" s="358" t="s">
        <v>1061</v>
      </c>
      <c r="L21" s="358" t="s">
        <v>1210</v>
      </c>
      <c r="M21" s="358" t="s">
        <v>1063</v>
      </c>
      <c r="N21" s="358" t="s">
        <v>1211</v>
      </c>
      <c r="O21" s="358" t="s">
        <v>1212</v>
      </c>
    </row>
    <row r="22">
      <c r="A22" s="358" t="s">
        <v>1213</v>
      </c>
      <c r="B22" s="358">
        <v>1693.0</v>
      </c>
      <c r="C22" s="358" t="s">
        <v>1066</v>
      </c>
      <c r="D22" s="359">
        <v>34120.0</v>
      </c>
      <c r="E22" s="358">
        <v>3.55239395E8</v>
      </c>
      <c r="F22" s="358" t="s">
        <v>1214</v>
      </c>
      <c r="G22" s="360" t="s">
        <v>1058</v>
      </c>
      <c r="H22" s="358" t="s">
        <v>1215</v>
      </c>
      <c r="I22" s="362" t="s">
        <v>1216</v>
      </c>
      <c r="J22" s="358">
        <v>6.8151764E7</v>
      </c>
      <c r="K22" s="358" t="s">
        <v>1217</v>
      </c>
      <c r="L22" s="358" t="s">
        <v>1218</v>
      </c>
      <c r="M22" s="358" t="s">
        <v>1063</v>
      </c>
      <c r="N22" s="358" t="s">
        <v>1219</v>
      </c>
      <c r="O22" s="358" t="s">
        <v>1220</v>
      </c>
    </row>
    <row r="23">
      <c r="A23" s="358" t="s">
        <v>1221</v>
      </c>
      <c r="B23" s="358">
        <v>1673.0</v>
      </c>
      <c r="C23" s="358" t="s">
        <v>1222</v>
      </c>
      <c r="D23" s="359">
        <v>27041.0</v>
      </c>
      <c r="E23" s="358">
        <v>4.69329324E8</v>
      </c>
      <c r="F23" s="358" t="s">
        <v>1223</v>
      </c>
      <c r="G23" s="360" t="s">
        <v>1058</v>
      </c>
      <c r="H23" s="358" t="s">
        <v>1224</v>
      </c>
      <c r="I23" s="361" t="s">
        <v>1225</v>
      </c>
      <c r="J23" s="358">
        <v>9.540555E7</v>
      </c>
      <c r="K23" s="358" t="s">
        <v>1061</v>
      </c>
      <c r="L23" s="358" t="s">
        <v>1226</v>
      </c>
      <c r="M23" s="358" t="s">
        <v>1063</v>
      </c>
      <c r="N23" s="358" t="s">
        <v>1227</v>
      </c>
      <c r="O23" s="358" t="s">
        <v>1228</v>
      </c>
    </row>
    <row r="24">
      <c r="A24" s="358" t="s">
        <v>1229</v>
      </c>
      <c r="B24" s="358">
        <v>1684.0</v>
      </c>
      <c r="C24" s="358" t="s">
        <v>1230</v>
      </c>
      <c r="D24" s="359">
        <v>26423.0</v>
      </c>
      <c r="E24" s="358">
        <v>6.88255474E8</v>
      </c>
      <c r="F24" s="358" t="s">
        <v>1231</v>
      </c>
      <c r="G24" s="360" t="s">
        <v>1058</v>
      </c>
      <c r="H24" s="358" t="s">
        <v>1232</v>
      </c>
      <c r="I24" s="362" t="s">
        <v>1233</v>
      </c>
      <c r="J24" s="358">
        <v>9.4524238E7</v>
      </c>
      <c r="K24" s="358" t="s">
        <v>1061</v>
      </c>
      <c r="L24" s="358" t="s">
        <v>1234</v>
      </c>
      <c r="M24" s="358" t="s">
        <v>1063</v>
      </c>
      <c r="N24" s="358" t="s">
        <v>1235</v>
      </c>
      <c r="O24" s="358" t="s">
        <v>1236</v>
      </c>
    </row>
    <row r="25">
      <c r="A25" s="358" t="s">
        <v>1237</v>
      </c>
      <c r="B25" s="358">
        <v>800.0</v>
      </c>
      <c r="C25" s="358" t="s">
        <v>1238</v>
      </c>
      <c r="D25" s="359">
        <v>30720.0</v>
      </c>
      <c r="E25" s="358">
        <v>5.66748058E8</v>
      </c>
      <c r="F25" s="358" t="s">
        <v>1239</v>
      </c>
      <c r="G25" s="360" t="s">
        <v>1058</v>
      </c>
      <c r="H25" s="358" t="s">
        <v>1240</v>
      </c>
      <c r="I25" s="362" t="s">
        <v>1241</v>
      </c>
      <c r="J25" s="358">
        <v>7.4810286E7</v>
      </c>
      <c r="K25" s="358" t="s">
        <v>1061</v>
      </c>
      <c r="L25" s="358" t="s">
        <v>1242</v>
      </c>
      <c r="M25" s="358" t="s">
        <v>1063</v>
      </c>
      <c r="N25" s="358" t="s">
        <v>1243</v>
      </c>
      <c r="O25" s="358" t="s">
        <v>1244</v>
      </c>
    </row>
    <row r="26">
      <c r="A26" s="358" t="s">
        <v>1245</v>
      </c>
      <c r="B26" s="358">
        <v>1698.0</v>
      </c>
      <c r="C26" s="358" t="s">
        <v>1246</v>
      </c>
      <c r="D26" s="359">
        <v>28714.0</v>
      </c>
      <c r="E26" s="358">
        <v>3.1197605E8</v>
      </c>
      <c r="F26" s="358" t="s">
        <v>1247</v>
      </c>
      <c r="G26" s="360" t="s">
        <v>1058</v>
      </c>
      <c r="H26" s="358" t="s">
        <v>1248</v>
      </c>
      <c r="I26" s="362" t="s">
        <v>1249</v>
      </c>
      <c r="J26" s="358">
        <v>6.8071515E7</v>
      </c>
      <c r="K26" s="358" t="s">
        <v>1250</v>
      </c>
      <c r="L26" s="358" t="s">
        <v>1251</v>
      </c>
      <c r="M26" s="358" t="s">
        <v>1063</v>
      </c>
      <c r="N26" s="358" t="s">
        <v>1252</v>
      </c>
      <c r="O26" s="358" t="s">
        <v>1253</v>
      </c>
    </row>
    <row r="27">
      <c r="A27" s="358" t="s">
        <v>1254</v>
      </c>
      <c r="B27" s="358">
        <v>379.0</v>
      </c>
      <c r="C27" s="358" t="s">
        <v>1255</v>
      </c>
      <c r="D27" s="359">
        <v>32917.0</v>
      </c>
      <c r="E27" s="358">
        <v>4.24155254E8</v>
      </c>
      <c r="F27" s="358" t="s">
        <v>1256</v>
      </c>
      <c r="G27" s="360" t="s">
        <v>1058</v>
      </c>
      <c r="H27" s="358" t="s">
        <v>1257</v>
      </c>
      <c r="I27" s="362" t="s">
        <v>1258</v>
      </c>
      <c r="J27" s="358">
        <v>6.4373193E7</v>
      </c>
      <c r="K27" s="358" t="s">
        <v>1061</v>
      </c>
      <c r="L27" s="358" t="s">
        <v>1259</v>
      </c>
      <c r="M27" s="358" t="s">
        <v>1151</v>
      </c>
      <c r="N27" s="358" t="s">
        <v>1260</v>
      </c>
      <c r="O27" s="358" t="s">
        <v>1261</v>
      </c>
    </row>
    <row r="28">
      <c r="A28" s="358" t="s">
        <v>1262</v>
      </c>
      <c r="B28" s="358">
        <v>688.0</v>
      </c>
      <c r="C28" s="358" t="s">
        <v>1263</v>
      </c>
      <c r="D28" s="359">
        <v>29182.0</v>
      </c>
      <c r="E28" s="358">
        <v>3.50076091E8</v>
      </c>
      <c r="F28" s="358" t="s">
        <v>1264</v>
      </c>
      <c r="G28" s="358" t="s">
        <v>1265</v>
      </c>
      <c r="H28" s="358" t="s">
        <v>1266</v>
      </c>
      <c r="I28" s="362" t="s">
        <v>1267</v>
      </c>
      <c r="J28" s="358">
        <v>7.3890812E7</v>
      </c>
      <c r="K28" s="358" t="s">
        <v>1061</v>
      </c>
      <c r="L28" s="358" t="s">
        <v>1268</v>
      </c>
      <c r="M28" s="358" t="s">
        <v>1063</v>
      </c>
      <c r="N28" s="358" t="s">
        <v>1269</v>
      </c>
      <c r="O28" s="358" t="s">
        <v>1270</v>
      </c>
    </row>
    <row r="29">
      <c r="A29" s="358" t="s">
        <v>1271</v>
      </c>
      <c r="B29" s="358">
        <v>1679.0</v>
      </c>
      <c r="C29" s="358" t="s">
        <v>1272</v>
      </c>
      <c r="D29" s="359">
        <v>26089.0</v>
      </c>
      <c r="E29" s="358">
        <v>2.57802253E8</v>
      </c>
      <c r="F29" s="358" t="s">
        <v>1273</v>
      </c>
      <c r="G29" s="360" t="s">
        <v>1058</v>
      </c>
      <c r="H29" s="358" t="s">
        <v>1274</v>
      </c>
      <c r="I29" s="362" t="s">
        <v>1275</v>
      </c>
      <c r="J29" s="358">
        <v>8.9443888E7</v>
      </c>
      <c r="K29" s="358" t="s">
        <v>1061</v>
      </c>
      <c r="L29" s="358" t="s">
        <v>1276</v>
      </c>
      <c r="M29" s="358" t="s">
        <v>1063</v>
      </c>
      <c r="N29" s="358" t="s">
        <v>1277</v>
      </c>
      <c r="O29" s="358" t="s">
        <v>1278</v>
      </c>
    </row>
    <row r="30">
      <c r="A30" s="358" t="s">
        <v>1279</v>
      </c>
      <c r="B30" s="358">
        <v>1587.0</v>
      </c>
      <c r="C30" s="358" t="s">
        <v>1280</v>
      </c>
      <c r="D30" s="359">
        <v>27355.0</v>
      </c>
      <c r="E30" s="358">
        <v>4.33236279E8</v>
      </c>
      <c r="F30" s="358" t="s">
        <v>1281</v>
      </c>
      <c r="G30" s="360" t="s">
        <v>1058</v>
      </c>
      <c r="H30" s="358" t="s">
        <v>1282</v>
      </c>
      <c r="I30" s="362" t="s">
        <v>1283</v>
      </c>
      <c r="J30" s="358">
        <v>9.2845312E7</v>
      </c>
      <c r="K30" s="358" t="s">
        <v>1284</v>
      </c>
      <c r="L30" s="358" t="s">
        <v>1285</v>
      </c>
      <c r="M30" s="358" t="s">
        <v>1151</v>
      </c>
      <c r="N30" s="358" t="s">
        <v>1286</v>
      </c>
      <c r="O30" s="358" t="s">
        <v>1287</v>
      </c>
    </row>
    <row r="31">
      <c r="A31" s="358" t="s">
        <v>1288</v>
      </c>
      <c r="B31" s="358">
        <v>1657.0</v>
      </c>
      <c r="C31" s="358" t="s">
        <v>1289</v>
      </c>
      <c r="D31" s="359">
        <v>24622.0</v>
      </c>
      <c r="E31" s="358">
        <v>6.67417837E8</v>
      </c>
      <c r="F31" s="358" t="s">
        <v>1290</v>
      </c>
      <c r="G31" s="360" t="s">
        <v>1058</v>
      </c>
      <c r="H31" s="358" t="s">
        <v>1291</v>
      </c>
      <c r="I31" s="362" t="s">
        <v>1292</v>
      </c>
      <c r="J31" s="358">
        <v>8.7494663E7</v>
      </c>
      <c r="K31" s="358" t="s">
        <v>1061</v>
      </c>
      <c r="L31" s="358" t="s">
        <v>1293</v>
      </c>
      <c r="M31" s="358" t="s">
        <v>1063</v>
      </c>
      <c r="N31" s="358" t="s">
        <v>1294</v>
      </c>
      <c r="O31" s="358" t="s">
        <v>1288</v>
      </c>
    </row>
    <row r="32">
      <c r="A32" s="358" t="s">
        <v>1295</v>
      </c>
      <c r="B32" s="358">
        <v>521.0</v>
      </c>
      <c r="C32" s="358" t="s">
        <v>1296</v>
      </c>
      <c r="D32" s="359">
        <v>27966.0</v>
      </c>
      <c r="E32" s="358">
        <v>2.64658681E8</v>
      </c>
      <c r="F32" s="358" t="s">
        <v>1297</v>
      </c>
      <c r="G32" s="360" t="s">
        <v>1058</v>
      </c>
      <c r="H32" s="358" t="s">
        <v>1298</v>
      </c>
      <c r="I32" s="362" t="s">
        <v>1299</v>
      </c>
      <c r="J32" s="358">
        <v>7.106275E7</v>
      </c>
      <c r="K32" s="358" t="s">
        <v>1061</v>
      </c>
      <c r="L32" s="358" t="s">
        <v>1300</v>
      </c>
      <c r="M32" s="358" t="s">
        <v>1063</v>
      </c>
      <c r="N32" s="358" t="s">
        <v>1301</v>
      </c>
      <c r="O32" s="358" t="s">
        <v>1302</v>
      </c>
    </row>
    <row r="33">
      <c r="A33" s="358" t="s">
        <v>1303</v>
      </c>
      <c r="B33" s="358">
        <v>1220.0</v>
      </c>
      <c r="C33" s="358" t="s">
        <v>1066</v>
      </c>
      <c r="D33" s="359">
        <v>33909.0</v>
      </c>
      <c r="E33" s="358">
        <v>3.90837581E8</v>
      </c>
      <c r="F33" s="358" t="s">
        <v>1304</v>
      </c>
      <c r="G33" s="360" t="s">
        <v>1058</v>
      </c>
      <c r="H33" s="358" t="s">
        <v>1305</v>
      </c>
      <c r="I33" s="362" t="s">
        <v>1306</v>
      </c>
      <c r="J33" s="358">
        <v>8.3956883E7</v>
      </c>
      <c r="K33" s="358" t="s">
        <v>1061</v>
      </c>
      <c r="L33" s="358" t="s">
        <v>1307</v>
      </c>
      <c r="M33" s="358" t="s">
        <v>1063</v>
      </c>
      <c r="N33" s="358" t="s">
        <v>1308</v>
      </c>
      <c r="O33" s="358" t="s">
        <v>1309</v>
      </c>
    </row>
    <row r="34">
      <c r="A34" s="358" t="s">
        <v>1310</v>
      </c>
      <c r="B34" s="358">
        <v>1631.0</v>
      </c>
      <c r="C34" s="358" t="s">
        <v>1311</v>
      </c>
      <c r="D34" s="359">
        <v>34220.0</v>
      </c>
      <c r="E34" s="358">
        <v>4.38071384E8</v>
      </c>
      <c r="F34" s="358" t="s">
        <v>1312</v>
      </c>
      <c r="G34" s="360" t="s">
        <v>1058</v>
      </c>
      <c r="H34" s="358" t="s">
        <v>1313</v>
      </c>
      <c r="I34" s="362" t="s">
        <v>1314</v>
      </c>
      <c r="J34" s="358">
        <v>9.3652054E7</v>
      </c>
      <c r="K34" s="358" t="s">
        <v>1061</v>
      </c>
      <c r="L34" s="358" t="s">
        <v>1315</v>
      </c>
      <c r="M34" s="358" t="s">
        <v>1063</v>
      </c>
      <c r="N34" s="358" t="s">
        <v>1316</v>
      </c>
      <c r="O34" s="358" t="s">
        <v>1317</v>
      </c>
    </row>
    <row r="35">
      <c r="A35" s="358" t="s">
        <v>1318</v>
      </c>
      <c r="B35" s="358">
        <v>1064.0</v>
      </c>
      <c r="C35" s="358" t="s">
        <v>1319</v>
      </c>
      <c r="D35" s="359">
        <v>32008.0</v>
      </c>
      <c r="E35" s="358">
        <v>3.95245722E8</v>
      </c>
      <c r="F35" s="358" t="s">
        <v>1320</v>
      </c>
      <c r="G35" s="360" t="s">
        <v>1058</v>
      </c>
      <c r="H35" s="358" t="s">
        <v>1321</v>
      </c>
      <c r="I35" s="362" t="s">
        <v>1322</v>
      </c>
      <c r="J35" s="358">
        <v>8.183867E7</v>
      </c>
      <c r="K35" s="358" t="s">
        <v>1061</v>
      </c>
      <c r="L35" s="358" t="s">
        <v>1323</v>
      </c>
      <c r="M35" s="358" t="s">
        <v>1063</v>
      </c>
      <c r="N35" s="358" t="s">
        <v>1324</v>
      </c>
      <c r="O35" s="358" t="s">
        <v>1197</v>
      </c>
    </row>
    <row r="36">
      <c r="A36" s="358" t="s">
        <v>1325</v>
      </c>
      <c r="B36" s="358">
        <v>1616.0</v>
      </c>
      <c r="C36" s="358" t="s">
        <v>1123</v>
      </c>
      <c r="D36" s="359">
        <v>30916.0</v>
      </c>
      <c r="E36" s="358">
        <v>5.40510105E8</v>
      </c>
      <c r="F36" s="358" t="s">
        <v>1326</v>
      </c>
      <c r="G36" s="360" t="s">
        <v>1058</v>
      </c>
      <c r="H36" s="358" t="s">
        <v>1327</v>
      </c>
      <c r="I36" s="362" t="s">
        <v>1328</v>
      </c>
      <c r="J36" s="358">
        <v>9.3680155E7</v>
      </c>
      <c r="K36" s="358" t="s">
        <v>1061</v>
      </c>
      <c r="L36" s="358" t="s">
        <v>1329</v>
      </c>
      <c r="M36" s="358" t="s">
        <v>1063</v>
      </c>
      <c r="N36" s="358" t="s">
        <v>1330</v>
      </c>
      <c r="O36" s="358" t="s">
        <v>1331</v>
      </c>
    </row>
    <row r="37">
      <c r="A37" s="358" t="s">
        <v>1332</v>
      </c>
      <c r="B37" s="358">
        <v>955.0</v>
      </c>
      <c r="C37" s="358" t="s">
        <v>1333</v>
      </c>
      <c r="D37" s="359">
        <v>33307.0</v>
      </c>
      <c r="E37" s="358">
        <v>6.39696818E8</v>
      </c>
      <c r="F37" s="358" t="s">
        <v>1334</v>
      </c>
      <c r="G37" s="360" t="s">
        <v>1058</v>
      </c>
      <c r="H37" s="358" t="s">
        <v>1335</v>
      </c>
      <c r="I37" s="362" t="s">
        <v>1336</v>
      </c>
      <c r="J37" s="358">
        <v>7.7352947E7</v>
      </c>
      <c r="K37" s="358" t="s">
        <v>1061</v>
      </c>
      <c r="L37" s="358" t="s">
        <v>1337</v>
      </c>
      <c r="M37" s="358" t="s">
        <v>1063</v>
      </c>
      <c r="N37" s="358" t="s">
        <v>1338</v>
      </c>
      <c r="O37" s="358" t="s">
        <v>1339</v>
      </c>
    </row>
    <row r="38">
      <c r="A38" s="358" t="s">
        <v>1340</v>
      </c>
      <c r="B38" s="358">
        <v>1467.0</v>
      </c>
      <c r="C38" s="358" t="s">
        <v>1341</v>
      </c>
      <c r="D38" s="359">
        <v>32766.0</v>
      </c>
      <c r="E38" s="358">
        <v>3.29754439E8</v>
      </c>
      <c r="F38" s="358" t="s">
        <v>1342</v>
      </c>
      <c r="G38" s="360" t="s">
        <v>1058</v>
      </c>
      <c r="H38" s="358" t="s">
        <v>1343</v>
      </c>
      <c r="I38" s="361" t="s">
        <v>1344</v>
      </c>
      <c r="J38" s="358">
        <v>8.9865073E7</v>
      </c>
      <c r="K38" s="358" t="s">
        <v>1061</v>
      </c>
      <c r="L38" s="358" t="s">
        <v>1345</v>
      </c>
      <c r="M38" s="358" t="s">
        <v>1063</v>
      </c>
      <c r="N38" s="358" t="s">
        <v>1346</v>
      </c>
      <c r="O38" s="358" t="s">
        <v>1347</v>
      </c>
    </row>
    <row r="39">
      <c r="A39" s="358" t="s">
        <v>1348</v>
      </c>
      <c r="B39" s="358">
        <v>1512.0</v>
      </c>
      <c r="C39" s="358" t="s">
        <v>1349</v>
      </c>
      <c r="D39" s="359">
        <v>28609.0</v>
      </c>
      <c r="E39" s="358">
        <v>3.70102721E8</v>
      </c>
      <c r="F39" s="358" t="s">
        <v>1350</v>
      </c>
      <c r="G39" s="360" t="s">
        <v>1058</v>
      </c>
      <c r="H39" s="358" t="s">
        <v>1100</v>
      </c>
      <c r="I39" s="362" t="s">
        <v>1351</v>
      </c>
      <c r="J39" s="358">
        <v>8.9767217E7</v>
      </c>
      <c r="K39" s="358" t="s">
        <v>1061</v>
      </c>
      <c r="L39" s="358" t="s">
        <v>1352</v>
      </c>
      <c r="M39" s="358" t="s">
        <v>1063</v>
      </c>
      <c r="N39" s="358" t="s">
        <v>1353</v>
      </c>
      <c r="O39" s="358" t="s">
        <v>1354</v>
      </c>
    </row>
    <row r="40">
      <c r="A40" s="358" t="s">
        <v>1355</v>
      </c>
      <c r="B40" s="358">
        <v>313.0</v>
      </c>
      <c r="C40" s="358" t="s">
        <v>1356</v>
      </c>
      <c r="D40" s="359">
        <v>28539.0</v>
      </c>
      <c r="E40" s="358">
        <v>5.46944176E8</v>
      </c>
      <c r="F40" s="358" t="s">
        <v>1357</v>
      </c>
      <c r="G40" s="360" t="s">
        <v>1058</v>
      </c>
      <c r="H40" s="358" t="s">
        <v>1358</v>
      </c>
      <c r="I40" s="362" t="s">
        <v>1359</v>
      </c>
      <c r="J40" s="358">
        <v>6.6053587E7</v>
      </c>
      <c r="K40" s="358" t="s">
        <v>1061</v>
      </c>
      <c r="L40" s="358" t="s">
        <v>1360</v>
      </c>
      <c r="M40" s="358" t="s">
        <v>1063</v>
      </c>
      <c r="N40" s="358" t="s">
        <v>1361</v>
      </c>
      <c r="O40" s="358" t="s">
        <v>1236</v>
      </c>
    </row>
    <row r="41">
      <c r="A41" s="358" t="s">
        <v>1362</v>
      </c>
      <c r="B41" s="358">
        <v>1267.0</v>
      </c>
      <c r="C41" s="358" t="s">
        <v>1363</v>
      </c>
      <c r="D41" s="359">
        <v>28990.0</v>
      </c>
      <c r="E41" s="358">
        <v>6.76590342E8</v>
      </c>
      <c r="F41" s="358" t="s">
        <v>1364</v>
      </c>
      <c r="G41" s="360" t="s">
        <v>1058</v>
      </c>
      <c r="H41" s="358" t="s">
        <v>1365</v>
      </c>
      <c r="I41" s="361" t="s">
        <v>1366</v>
      </c>
      <c r="J41" s="358">
        <v>8.9249003E7</v>
      </c>
      <c r="K41" s="358" t="s">
        <v>1061</v>
      </c>
      <c r="L41" s="358" t="s">
        <v>1367</v>
      </c>
      <c r="M41" s="358" t="s">
        <v>1063</v>
      </c>
      <c r="N41" s="358" t="s">
        <v>1368</v>
      </c>
      <c r="O41" s="358" t="s">
        <v>1369</v>
      </c>
    </row>
    <row r="42">
      <c r="A42" s="358" t="s">
        <v>1370</v>
      </c>
      <c r="B42" s="358">
        <v>1048.0</v>
      </c>
      <c r="C42" s="358" t="s">
        <v>1319</v>
      </c>
      <c r="D42" s="359">
        <v>29636.0</v>
      </c>
      <c r="E42" s="358">
        <v>3.00516599E8</v>
      </c>
      <c r="F42" s="358" t="s">
        <v>1371</v>
      </c>
      <c r="G42" s="360" t="s">
        <v>1058</v>
      </c>
      <c r="H42" s="358" t="s">
        <v>1372</v>
      </c>
      <c r="I42" s="362" t="s">
        <v>1373</v>
      </c>
      <c r="J42" s="358">
        <v>8.105184E7</v>
      </c>
      <c r="K42" s="358" t="s">
        <v>1061</v>
      </c>
      <c r="L42" s="358" t="s">
        <v>1374</v>
      </c>
      <c r="M42" s="358" t="s">
        <v>1063</v>
      </c>
      <c r="N42" s="358" t="s">
        <v>1375</v>
      </c>
      <c r="O42" s="358" t="s">
        <v>1376</v>
      </c>
    </row>
    <row r="43">
      <c r="A43" s="358" t="s">
        <v>1377</v>
      </c>
      <c r="B43" s="358">
        <v>1737.0</v>
      </c>
      <c r="C43" s="358" t="s">
        <v>1378</v>
      </c>
      <c r="D43" s="359">
        <v>34507.0</v>
      </c>
      <c r="E43" s="358">
        <v>3.35172908E8</v>
      </c>
      <c r="F43" s="358" t="s">
        <v>1379</v>
      </c>
      <c r="G43" s="358" t="s">
        <v>1380</v>
      </c>
      <c r="H43" s="358" t="s">
        <v>1381</v>
      </c>
      <c r="I43" s="362" t="s">
        <v>1382</v>
      </c>
      <c r="J43" s="358">
        <v>7.4472682E7</v>
      </c>
      <c r="K43" s="358" t="s">
        <v>1383</v>
      </c>
      <c r="L43" s="358" t="s">
        <v>1384</v>
      </c>
      <c r="M43" s="358" t="s">
        <v>1063</v>
      </c>
      <c r="N43" s="358" t="s">
        <v>1385</v>
      </c>
      <c r="O43" s="358" t="s">
        <v>1386</v>
      </c>
    </row>
    <row r="44">
      <c r="A44" s="358" t="s">
        <v>1387</v>
      </c>
      <c r="B44" s="358">
        <v>1730.0</v>
      </c>
      <c r="C44" s="358" t="s">
        <v>1123</v>
      </c>
      <c r="D44" s="359">
        <v>36534.0</v>
      </c>
      <c r="E44" s="358">
        <v>2.80095831E8</v>
      </c>
      <c r="F44" s="358" t="s">
        <v>1388</v>
      </c>
      <c r="G44" s="358" t="s">
        <v>1389</v>
      </c>
      <c r="H44" s="358" t="s">
        <v>1390</v>
      </c>
      <c r="I44" s="362" t="s">
        <v>1391</v>
      </c>
      <c r="J44" s="358">
        <v>9.4453934E7</v>
      </c>
      <c r="K44" s="358" t="s">
        <v>1392</v>
      </c>
      <c r="L44" s="358" t="s">
        <v>1393</v>
      </c>
      <c r="M44" s="358" t="s">
        <v>1063</v>
      </c>
      <c r="N44" s="358" t="s">
        <v>1394</v>
      </c>
      <c r="O44" s="358" t="s">
        <v>1395</v>
      </c>
    </row>
    <row r="45">
      <c r="A45" s="358" t="s">
        <v>1396</v>
      </c>
      <c r="B45" s="358">
        <v>446.0</v>
      </c>
      <c r="C45" s="358" t="s">
        <v>1115</v>
      </c>
      <c r="D45" s="359">
        <v>29794.0</v>
      </c>
      <c r="E45" s="358">
        <v>4.25207869E8</v>
      </c>
      <c r="F45" s="358" t="s">
        <v>1397</v>
      </c>
      <c r="G45" s="360" t="s">
        <v>1058</v>
      </c>
      <c r="H45" s="358" t="s">
        <v>1398</v>
      </c>
      <c r="I45" s="362" t="s">
        <v>1399</v>
      </c>
      <c r="J45" s="358">
        <v>6.9806977E7</v>
      </c>
      <c r="K45" s="358" t="s">
        <v>1061</v>
      </c>
      <c r="L45" s="358" t="s">
        <v>1400</v>
      </c>
      <c r="M45" s="358" t="s">
        <v>1063</v>
      </c>
      <c r="N45" s="358" t="s">
        <v>1401</v>
      </c>
      <c r="O45" s="358" t="s">
        <v>1402</v>
      </c>
    </row>
    <row r="46">
      <c r="A46" s="358" t="s">
        <v>1403</v>
      </c>
      <c r="B46" s="358">
        <v>1162.0</v>
      </c>
      <c r="C46" s="358" t="s">
        <v>1404</v>
      </c>
      <c r="D46" s="359">
        <v>29400.0</v>
      </c>
      <c r="E46" s="358">
        <v>3.85210206E8</v>
      </c>
      <c r="F46" s="358" t="s">
        <v>1405</v>
      </c>
      <c r="G46" s="360" t="s">
        <v>1058</v>
      </c>
      <c r="H46" s="358" t="s">
        <v>1406</v>
      </c>
      <c r="I46" s="362" t="s">
        <v>1407</v>
      </c>
      <c r="J46" s="358">
        <v>8.2353247E7</v>
      </c>
      <c r="K46" s="358" t="s">
        <v>1061</v>
      </c>
      <c r="L46" s="358" t="s">
        <v>1408</v>
      </c>
      <c r="M46" s="358" t="s">
        <v>1063</v>
      </c>
      <c r="N46" s="358" t="s">
        <v>1409</v>
      </c>
      <c r="O46" s="358" t="s">
        <v>1410</v>
      </c>
    </row>
    <row r="47">
      <c r="A47" s="358" t="s">
        <v>1411</v>
      </c>
      <c r="B47" s="358">
        <v>1019.0</v>
      </c>
      <c r="C47" s="358" t="s">
        <v>1404</v>
      </c>
      <c r="D47" s="359">
        <v>32485.0</v>
      </c>
      <c r="E47" s="358">
        <v>4.74167756E8</v>
      </c>
      <c r="F47" s="358" t="s">
        <v>1412</v>
      </c>
      <c r="G47" s="360" t="s">
        <v>1058</v>
      </c>
      <c r="H47" s="358" t="s">
        <v>1413</v>
      </c>
      <c r="I47" s="362" t="s">
        <v>1414</v>
      </c>
      <c r="J47" s="358">
        <v>7.8606896E7</v>
      </c>
      <c r="K47" s="358" t="s">
        <v>1061</v>
      </c>
      <c r="L47" s="358" t="s">
        <v>1415</v>
      </c>
      <c r="M47" s="358" t="s">
        <v>1063</v>
      </c>
      <c r="N47" s="358" t="s">
        <v>1416</v>
      </c>
      <c r="O47" s="358" t="s">
        <v>1417</v>
      </c>
    </row>
    <row r="48">
      <c r="A48" s="358" t="s">
        <v>1418</v>
      </c>
      <c r="B48" s="358">
        <v>1591.0</v>
      </c>
      <c r="C48" s="358" t="s">
        <v>1419</v>
      </c>
      <c r="D48" s="359">
        <v>32687.0</v>
      </c>
      <c r="E48" s="358">
        <v>6.45867391E8</v>
      </c>
      <c r="F48" s="358" t="s">
        <v>1420</v>
      </c>
      <c r="G48" s="360" t="s">
        <v>1058</v>
      </c>
      <c r="H48" s="358" t="s">
        <v>1421</v>
      </c>
      <c r="I48" s="362" t="s">
        <v>1422</v>
      </c>
      <c r="J48" s="358">
        <v>9.3106599E7</v>
      </c>
      <c r="K48" s="358" t="s">
        <v>1061</v>
      </c>
      <c r="L48" s="358" t="s">
        <v>1423</v>
      </c>
      <c r="M48" s="358" t="s">
        <v>1063</v>
      </c>
      <c r="N48" s="358" t="s">
        <v>1424</v>
      </c>
      <c r="O48" s="358" t="s">
        <v>1425</v>
      </c>
    </row>
    <row r="49">
      <c r="A49" s="358" t="s">
        <v>1426</v>
      </c>
      <c r="B49" s="358">
        <v>540.0</v>
      </c>
      <c r="C49" s="358" t="s">
        <v>1427</v>
      </c>
      <c r="D49" s="359">
        <v>27035.0</v>
      </c>
      <c r="E49" s="358">
        <v>6.29940757E8</v>
      </c>
      <c r="F49" s="358" t="s">
        <v>1428</v>
      </c>
      <c r="G49" s="360" t="s">
        <v>1058</v>
      </c>
      <c r="H49" s="358" t="s">
        <v>1429</v>
      </c>
      <c r="I49" s="362" t="s">
        <v>1430</v>
      </c>
      <c r="J49" s="358">
        <v>7.1073949E7</v>
      </c>
      <c r="K49" s="358" t="s">
        <v>1061</v>
      </c>
      <c r="L49" s="358" t="s">
        <v>1431</v>
      </c>
      <c r="M49" s="358" t="s">
        <v>1063</v>
      </c>
      <c r="N49" s="358" t="s">
        <v>1432</v>
      </c>
      <c r="O49" s="358" t="s">
        <v>1433</v>
      </c>
    </row>
    <row r="50">
      <c r="A50" s="358" t="s">
        <v>1434</v>
      </c>
      <c r="B50" s="358">
        <v>1573.0</v>
      </c>
      <c r="C50" s="358" t="s">
        <v>1155</v>
      </c>
      <c r="D50" s="359">
        <v>37263.0</v>
      </c>
      <c r="E50" s="358">
        <v>6.91702512E8</v>
      </c>
      <c r="F50" s="358" t="s">
        <v>1435</v>
      </c>
      <c r="G50" s="360" t="s">
        <v>1058</v>
      </c>
      <c r="H50" s="358" t="s">
        <v>1436</v>
      </c>
      <c r="I50" s="361" t="s">
        <v>1437</v>
      </c>
      <c r="J50" s="358">
        <v>9.2556957E7</v>
      </c>
      <c r="K50" s="358" t="s">
        <v>1061</v>
      </c>
      <c r="L50" s="358" t="s">
        <v>1438</v>
      </c>
      <c r="M50" s="358" t="s">
        <v>1063</v>
      </c>
      <c r="N50" s="358" t="s">
        <v>1439</v>
      </c>
      <c r="O50" s="358" t="s">
        <v>1440</v>
      </c>
    </row>
    <row r="51">
      <c r="A51" s="358" t="s">
        <v>1441</v>
      </c>
      <c r="B51" s="358">
        <v>1001.0</v>
      </c>
      <c r="C51" s="358" t="s">
        <v>1066</v>
      </c>
      <c r="D51" s="359">
        <v>27644.0</v>
      </c>
      <c r="E51" s="358">
        <v>6.60264705E8</v>
      </c>
      <c r="F51" s="358" t="s">
        <v>1442</v>
      </c>
      <c r="G51" s="360" t="s">
        <v>1058</v>
      </c>
      <c r="H51" s="358" t="s">
        <v>1443</v>
      </c>
      <c r="I51" s="362" t="s">
        <v>1444</v>
      </c>
      <c r="J51" s="358">
        <v>5.2955397E7</v>
      </c>
      <c r="K51" s="358" t="s">
        <v>1061</v>
      </c>
      <c r="L51" s="154"/>
      <c r="M51" s="358" t="s">
        <v>1063</v>
      </c>
      <c r="N51" s="358" t="s">
        <v>1445</v>
      </c>
      <c r="O51" s="358" t="s">
        <v>1446</v>
      </c>
    </row>
    <row r="52">
      <c r="A52" s="358" t="s">
        <v>1447</v>
      </c>
      <c r="B52" s="358">
        <v>901.0</v>
      </c>
      <c r="C52" s="358" t="s">
        <v>1448</v>
      </c>
      <c r="D52" s="359">
        <v>22107.0</v>
      </c>
      <c r="E52" s="358">
        <v>1.26248175E8</v>
      </c>
      <c r="F52" s="358" t="s">
        <v>1449</v>
      </c>
      <c r="G52" s="360" t="s">
        <v>1058</v>
      </c>
      <c r="H52" s="358" t="s">
        <v>1450</v>
      </c>
      <c r="I52" s="362" t="s">
        <v>1451</v>
      </c>
      <c r="J52" s="358">
        <v>5.5962734E7</v>
      </c>
      <c r="K52" s="358" t="s">
        <v>1061</v>
      </c>
      <c r="L52" s="358" t="s">
        <v>1452</v>
      </c>
      <c r="M52" s="358" t="s">
        <v>1063</v>
      </c>
      <c r="N52" s="358" t="s">
        <v>1453</v>
      </c>
      <c r="O52" s="358" t="s">
        <v>1454</v>
      </c>
    </row>
    <row r="53">
      <c r="A53" s="358" t="s">
        <v>1455</v>
      </c>
      <c r="B53" s="358">
        <v>534.0</v>
      </c>
      <c r="C53" s="358" t="s">
        <v>1074</v>
      </c>
      <c r="D53" s="359">
        <v>34268.0</v>
      </c>
      <c r="E53" s="358">
        <v>4.79421663E8</v>
      </c>
      <c r="F53" s="358" t="s">
        <v>1456</v>
      </c>
      <c r="G53" s="360" t="s">
        <v>1058</v>
      </c>
      <c r="H53" s="358" t="s">
        <v>1457</v>
      </c>
      <c r="I53" s="362" t="s">
        <v>1458</v>
      </c>
      <c r="J53" s="358">
        <v>7.0060991E7</v>
      </c>
      <c r="K53" s="358" t="s">
        <v>1061</v>
      </c>
      <c r="L53" s="358" t="s">
        <v>1459</v>
      </c>
      <c r="M53" s="358" t="s">
        <v>1063</v>
      </c>
      <c r="N53" s="358" t="s">
        <v>1460</v>
      </c>
      <c r="O53" s="358" t="s">
        <v>1461</v>
      </c>
    </row>
    <row r="54">
      <c r="A54" s="358" t="s">
        <v>1462</v>
      </c>
      <c r="B54" s="358">
        <v>225.0</v>
      </c>
      <c r="C54" s="358" t="s">
        <v>1463</v>
      </c>
      <c r="D54" s="359">
        <v>29109.0</v>
      </c>
      <c r="E54" s="358">
        <v>2.64558704E8</v>
      </c>
      <c r="F54" s="358" t="s">
        <v>1464</v>
      </c>
      <c r="G54" s="360" t="s">
        <v>1058</v>
      </c>
      <c r="H54" s="358" t="s">
        <v>1465</v>
      </c>
      <c r="I54" s="362" t="s">
        <v>1466</v>
      </c>
      <c r="J54" s="358">
        <v>5.6324634E7</v>
      </c>
      <c r="K54" s="358" t="s">
        <v>1061</v>
      </c>
      <c r="L54" s="358" t="s">
        <v>1467</v>
      </c>
      <c r="M54" s="358" t="s">
        <v>1151</v>
      </c>
      <c r="N54" s="358" t="s">
        <v>1468</v>
      </c>
      <c r="O54" s="358" t="s">
        <v>1469</v>
      </c>
    </row>
    <row r="55">
      <c r="A55" s="358" t="s">
        <v>1470</v>
      </c>
      <c r="B55" s="358">
        <v>1712.0</v>
      </c>
      <c r="C55" s="358" t="s">
        <v>1471</v>
      </c>
      <c r="D55" s="359">
        <v>34298.0</v>
      </c>
      <c r="E55" s="358">
        <v>3.4670045E8</v>
      </c>
      <c r="F55" s="358" t="s">
        <v>1472</v>
      </c>
      <c r="G55" s="358" t="s">
        <v>1473</v>
      </c>
      <c r="H55" s="358" t="s">
        <v>1474</v>
      </c>
      <c r="I55" s="361" t="s">
        <v>1475</v>
      </c>
      <c r="J55" s="358">
        <v>9.7217174E7</v>
      </c>
      <c r="K55" s="358" t="s">
        <v>1476</v>
      </c>
      <c r="L55" s="358" t="s">
        <v>1477</v>
      </c>
      <c r="M55" s="358" t="s">
        <v>1063</v>
      </c>
      <c r="N55" s="358" t="s">
        <v>1478</v>
      </c>
      <c r="O55" s="358" t="s">
        <v>1479</v>
      </c>
    </row>
    <row r="56">
      <c r="A56" s="358" t="s">
        <v>1480</v>
      </c>
      <c r="B56" s="358">
        <v>1026.0</v>
      </c>
      <c r="C56" s="358" t="s">
        <v>1481</v>
      </c>
      <c r="D56" s="359">
        <v>36389.0</v>
      </c>
      <c r="E56" s="358">
        <v>5.08637922E8</v>
      </c>
      <c r="F56" s="358" t="s">
        <v>1482</v>
      </c>
      <c r="G56" s="360" t="s">
        <v>1058</v>
      </c>
      <c r="H56" s="358" t="s">
        <v>1483</v>
      </c>
      <c r="I56" s="362" t="s">
        <v>1484</v>
      </c>
      <c r="J56" s="358">
        <v>8.0224636E7</v>
      </c>
      <c r="K56" s="358" t="s">
        <v>1061</v>
      </c>
      <c r="L56" s="358" t="s">
        <v>1485</v>
      </c>
      <c r="M56" s="358" t="s">
        <v>1063</v>
      </c>
      <c r="N56" s="358" t="s">
        <v>1486</v>
      </c>
      <c r="O56" s="358" t="s">
        <v>1487</v>
      </c>
    </row>
    <row r="57">
      <c r="A57" s="358" t="s">
        <v>1488</v>
      </c>
      <c r="B57" s="358">
        <v>1686.0</v>
      </c>
      <c r="C57" s="358" t="s">
        <v>1489</v>
      </c>
      <c r="D57" s="359">
        <v>32332.0</v>
      </c>
      <c r="E57" s="358">
        <v>6.46641402E8</v>
      </c>
      <c r="F57" s="358" t="s">
        <v>1490</v>
      </c>
      <c r="G57" s="358" t="s">
        <v>1491</v>
      </c>
      <c r="H57" s="358" t="s">
        <v>1492</v>
      </c>
      <c r="I57" s="362" t="s">
        <v>1493</v>
      </c>
      <c r="J57" s="358">
        <v>8.8056333E7</v>
      </c>
      <c r="K57" s="358" t="s">
        <v>1494</v>
      </c>
      <c r="L57" s="358" t="s">
        <v>1495</v>
      </c>
      <c r="M57" s="358" t="s">
        <v>1151</v>
      </c>
      <c r="N57" s="358" t="s">
        <v>1496</v>
      </c>
      <c r="O57" s="358" t="s">
        <v>1497</v>
      </c>
    </row>
    <row r="58">
      <c r="A58" s="358" t="s">
        <v>1498</v>
      </c>
      <c r="B58" s="358">
        <v>431.0</v>
      </c>
      <c r="C58" s="358" t="s">
        <v>1499</v>
      </c>
      <c r="D58" s="359">
        <v>33525.0</v>
      </c>
      <c r="E58" s="358">
        <v>3.97816194E8</v>
      </c>
      <c r="F58" s="358" t="s">
        <v>1500</v>
      </c>
      <c r="G58" s="360" t="s">
        <v>1058</v>
      </c>
      <c r="H58" s="358" t="s">
        <v>1501</v>
      </c>
      <c r="I58" s="362" t="s">
        <v>1502</v>
      </c>
      <c r="J58" s="358">
        <v>6.9357854E7</v>
      </c>
      <c r="K58" s="358" t="s">
        <v>1503</v>
      </c>
      <c r="L58" s="358" t="s">
        <v>1504</v>
      </c>
      <c r="M58" s="358" t="s">
        <v>1063</v>
      </c>
      <c r="N58" s="358" t="s">
        <v>1505</v>
      </c>
      <c r="O58" s="358" t="s">
        <v>1506</v>
      </c>
    </row>
    <row r="59">
      <c r="A59" s="358" t="s">
        <v>1507</v>
      </c>
      <c r="B59" s="358">
        <v>37.0</v>
      </c>
      <c r="C59" s="358" t="s">
        <v>1508</v>
      </c>
      <c r="D59" s="359">
        <v>23337.0</v>
      </c>
      <c r="E59" s="358">
        <v>5.48653719E8</v>
      </c>
      <c r="F59" s="358" t="s">
        <v>1509</v>
      </c>
      <c r="G59" s="360" t="s">
        <v>1058</v>
      </c>
      <c r="H59" s="358" t="s">
        <v>1510</v>
      </c>
      <c r="I59" s="362" t="s">
        <v>1511</v>
      </c>
      <c r="J59" s="358">
        <v>5.7678839E7</v>
      </c>
      <c r="K59" s="358" t="s">
        <v>1061</v>
      </c>
      <c r="L59" s="358" t="s">
        <v>1512</v>
      </c>
      <c r="M59" s="358" t="s">
        <v>1151</v>
      </c>
      <c r="N59" s="358" t="s">
        <v>1513</v>
      </c>
      <c r="O59" s="358" t="s">
        <v>1159</v>
      </c>
    </row>
    <row r="60">
      <c r="A60" s="358" t="s">
        <v>1514</v>
      </c>
      <c r="B60" s="358">
        <v>1695.0</v>
      </c>
      <c r="C60" s="358" t="s">
        <v>1515</v>
      </c>
      <c r="D60" s="359">
        <v>34216.0</v>
      </c>
      <c r="E60" s="358">
        <v>3.84009207E8</v>
      </c>
      <c r="F60" s="358" t="s">
        <v>1516</v>
      </c>
      <c r="G60" s="358" t="s">
        <v>74</v>
      </c>
      <c r="H60" s="358" t="s">
        <v>1517</v>
      </c>
      <c r="I60" s="362" t="s">
        <v>1518</v>
      </c>
      <c r="J60" s="358">
        <v>8.9972287E7</v>
      </c>
      <c r="K60" s="358" t="s">
        <v>1061</v>
      </c>
      <c r="L60" s="358" t="s">
        <v>1519</v>
      </c>
      <c r="M60" s="358" t="s">
        <v>1063</v>
      </c>
      <c r="N60" s="358" t="s">
        <v>1520</v>
      </c>
      <c r="O60" s="358" t="s">
        <v>1521</v>
      </c>
    </row>
    <row r="61">
      <c r="A61" s="358" t="s">
        <v>1522</v>
      </c>
      <c r="B61" s="358">
        <v>725.0</v>
      </c>
      <c r="C61" s="358" t="s">
        <v>1523</v>
      </c>
      <c r="D61" s="359">
        <v>29386.0</v>
      </c>
      <c r="E61" s="358">
        <v>2.64235162E8</v>
      </c>
      <c r="F61" s="358" t="s">
        <v>1524</v>
      </c>
      <c r="G61" s="360" t="s">
        <v>1058</v>
      </c>
      <c r="H61" s="358" t="s">
        <v>1525</v>
      </c>
      <c r="I61" s="362" t="s">
        <v>1526</v>
      </c>
      <c r="J61" s="358">
        <v>7.3948608E7</v>
      </c>
      <c r="K61" s="358" t="s">
        <v>1061</v>
      </c>
      <c r="L61" s="358" t="s">
        <v>1527</v>
      </c>
      <c r="M61" s="358" t="s">
        <v>1063</v>
      </c>
      <c r="N61" s="358" t="s">
        <v>1528</v>
      </c>
      <c r="O61" s="358" t="s">
        <v>1529</v>
      </c>
    </row>
    <row r="62">
      <c r="A62" s="358" t="s">
        <v>1530</v>
      </c>
      <c r="B62" s="358">
        <v>82.0</v>
      </c>
      <c r="C62" s="358" t="s">
        <v>1531</v>
      </c>
      <c r="D62" s="359">
        <v>25796.0</v>
      </c>
      <c r="E62" s="358">
        <v>4.94291849E8</v>
      </c>
      <c r="F62" s="358" t="s">
        <v>1532</v>
      </c>
      <c r="G62" s="360" t="s">
        <v>1058</v>
      </c>
      <c r="H62" s="358" t="s">
        <v>1533</v>
      </c>
      <c r="I62" s="362" t="s">
        <v>1534</v>
      </c>
      <c r="J62" s="358">
        <v>2.4468706E7</v>
      </c>
      <c r="K62" s="358" t="s">
        <v>1061</v>
      </c>
      <c r="L62" s="358" t="s">
        <v>1535</v>
      </c>
      <c r="M62" s="358" t="s">
        <v>1063</v>
      </c>
      <c r="N62" s="358" t="s">
        <v>1536</v>
      </c>
      <c r="O62" s="358" t="s">
        <v>1537</v>
      </c>
    </row>
    <row r="63">
      <c r="A63" s="358" t="s">
        <v>1538</v>
      </c>
      <c r="B63" s="358">
        <v>1671.0</v>
      </c>
      <c r="C63" s="358" t="s">
        <v>1539</v>
      </c>
      <c r="D63" s="359">
        <v>34723.0</v>
      </c>
      <c r="E63" s="358">
        <v>6.99541992E8</v>
      </c>
      <c r="F63" s="358" t="s">
        <v>1540</v>
      </c>
      <c r="G63" s="360" t="s">
        <v>1058</v>
      </c>
      <c r="H63" s="358" t="s">
        <v>1541</v>
      </c>
      <c r="I63" s="362" t="s">
        <v>1542</v>
      </c>
      <c r="J63" s="358">
        <v>9.5396977E7</v>
      </c>
      <c r="K63" s="358" t="s">
        <v>1543</v>
      </c>
      <c r="L63" s="358" t="s">
        <v>1544</v>
      </c>
      <c r="M63" s="358" t="s">
        <v>1063</v>
      </c>
      <c r="N63" s="358" t="s">
        <v>1545</v>
      </c>
      <c r="O63" s="358" t="s">
        <v>1197</v>
      </c>
    </row>
    <row r="64">
      <c r="A64" s="358" t="s">
        <v>1546</v>
      </c>
      <c r="B64" s="358">
        <v>1556.0</v>
      </c>
      <c r="C64" s="358" t="s">
        <v>1547</v>
      </c>
      <c r="D64" s="359">
        <v>35891.0</v>
      </c>
      <c r="E64" s="358">
        <v>4.68424106E8</v>
      </c>
      <c r="F64" s="358" t="s">
        <v>1548</v>
      </c>
      <c r="G64" s="360" t="s">
        <v>1058</v>
      </c>
      <c r="H64" s="358" t="s">
        <v>1549</v>
      </c>
      <c r="I64" s="362" t="s">
        <v>1550</v>
      </c>
      <c r="J64" s="358">
        <v>8.8610209E7</v>
      </c>
      <c r="K64" s="358" t="s">
        <v>1061</v>
      </c>
      <c r="L64" s="358" t="s">
        <v>1551</v>
      </c>
      <c r="M64" s="358" t="s">
        <v>1063</v>
      </c>
      <c r="N64" s="358" t="s">
        <v>1552</v>
      </c>
      <c r="O64" s="358" t="s">
        <v>1553</v>
      </c>
    </row>
    <row r="65">
      <c r="A65" s="358" t="s">
        <v>1554</v>
      </c>
      <c r="B65" s="358">
        <v>1586.0</v>
      </c>
      <c r="C65" s="358" t="s">
        <v>1555</v>
      </c>
      <c r="D65" s="359">
        <v>33759.0</v>
      </c>
      <c r="E65" s="358">
        <v>5.25494832E8</v>
      </c>
      <c r="F65" s="358" t="s">
        <v>1556</v>
      </c>
      <c r="G65" s="358" t="s">
        <v>1265</v>
      </c>
      <c r="H65" s="358" t="s">
        <v>1557</v>
      </c>
      <c r="I65" s="362" t="s">
        <v>1558</v>
      </c>
      <c r="J65" s="358">
        <v>8.9550242E7</v>
      </c>
      <c r="K65" s="358" t="s">
        <v>1559</v>
      </c>
      <c r="L65" s="358" t="s">
        <v>1560</v>
      </c>
      <c r="M65" s="358" t="s">
        <v>1063</v>
      </c>
      <c r="N65" s="358" t="s">
        <v>1561</v>
      </c>
      <c r="O65" s="358" t="s">
        <v>1479</v>
      </c>
    </row>
    <row r="66">
      <c r="A66" s="358" t="s">
        <v>1562</v>
      </c>
      <c r="B66" s="358">
        <v>873.0</v>
      </c>
      <c r="C66" s="358" t="s">
        <v>1563</v>
      </c>
      <c r="D66" s="359">
        <v>32766.0</v>
      </c>
      <c r="E66" s="358">
        <v>5.30638733E8</v>
      </c>
      <c r="F66" s="358" t="s">
        <v>1564</v>
      </c>
      <c r="G66" s="358" t="s">
        <v>1565</v>
      </c>
      <c r="H66" s="358" t="s">
        <v>1566</v>
      </c>
      <c r="I66" s="362" t="s">
        <v>1567</v>
      </c>
      <c r="J66" s="358">
        <v>7.6225194E7</v>
      </c>
      <c r="K66" s="358" t="s">
        <v>1061</v>
      </c>
      <c r="L66" s="358" t="s">
        <v>1568</v>
      </c>
      <c r="M66" s="358" t="s">
        <v>1063</v>
      </c>
      <c r="N66" s="358" t="s">
        <v>1569</v>
      </c>
      <c r="O66" s="358" t="s">
        <v>1570</v>
      </c>
    </row>
    <row r="67">
      <c r="A67" s="358" t="s">
        <v>1571</v>
      </c>
      <c r="B67" s="358">
        <v>1482.0</v>
      </c>
      <c r="C67" s="358" t="s">
        <v>1572</v>
      </c>
      <c r="D67" s="359">
        <v>31199.0</v>
      </c>
      <c r="E67" s="358">
        <v>7.84054095E8</v>
      </c>
      <c r="F67" s="358" t="s">
        <v>1573</v>
      </c>
      <c r="G67" s="358" t="s">
        <v>1574</v>
      </c>
      <c r="H67" s="358" t="s">
        <v>1575</v>
      </c>
      <c r="I67" s="362" t="s">
        <v>1576</v>
      </c>
      <c r="J67" s="358">
        <v>8.9433882E7</v>
      </c>
      <c r="K67" s="358" t="s">
        <v>1061</v>
      </c>
      <c r="L67" s="358" t="s">
        <v>1577</v>
      </c>
      <c r="M67" s="358" t="s">
        <v>1063</v>
      </c>
      <c r="N67" s="358" t="s">
        <v>1578</v>
      </c>
      <c r="O67" s="358" t="s">
        <v>1579</v>
      </c>
    </row>
    <row r="68">
      <c r="A68" s="358" t="s">
        <v>1580</v>
      </c>
      <c r="B68" s="358">
        <v>925.0</v>
      </c>
      <c r="C68" s="358" t="s">
        <v>1563</v>
      </c>
      <c r="D68" s="359">
        <v>29833.0</v>
      </c>
      <c r="E68" s="358">
        <v>6.77548709E8</v>
      </c>
      <c r="F68" s="358" t="s">
        <v>1581</v>
      </c>
      <c r="G68" s="360" t="s">
        <v>1058</v>
      </c>
      <c r="H68" s="358" t="s">
        <v>1582</v>
      </c>
      <c r="I68" s="362" t="s">
        <v>1583</v>
      </c>
      <c r="J68" s="358">
        <v>7.7190416E7</v>
      </c>
      <c r="K68" s="358" t="s">
        <v>1061</v>
      </c>
      <c r="L68" s="358" t="s">
        <v>1584</v>
      </c>
      <c r="M68" s="358" t="s">
        <v>1063</v>
      </c>
      <c r="N68" s="358" t="s">
        <v>1585</v>
      </c>
      <c r="O68" s="358" t="s">
        <v>1586</v>
      </c>
    </row>
    <row r="69">
      <c r="A69" s="358" t="s">
        <v>1587</v>
      </c>
      <c r="B69" s="358">
        <v>1109.0</v>
      </c>
      <c r="C69" s="358" t="s">
        <v>1471</v>
      </c>
      <c r="D69" s="359">
        <v>27920.0</v>
      </c>
      <c r="E69" s="358">
        <v>3.151357E8</v>
      </c>
      <c r="F69" s="358" t="s">
        <v>1588</v>
      </c>
      <c r="G69" s="360" t="s">
        <v>1058</v>
      </c>
      <c r="H69" s="358" t="s">
        <v>1589</v>
      </c>
      <c r="I69" s="362" t="s">
        <v>1590</v>
      </c>
      <c r="J69" s="358">
        <v>8.1867816E7</v>
      </c>
      <c r="K69" s="358" t="s">
        <v>1061</v>
      </c>
      <c r="L69" s="358" t="s">
        <v>1591</v>
      </c>
      <c r="M69" s="358" t="s">
        <v>1063</v>
      </c>
      <c r="N69" s="358" t="s">
        <v>1592</v>
      </c>
      <c r="O69" s="358" t="s">
        <v>1593</v>
      </c>
    </row>
    <row r="70">
      <c r="A70" s="358" t="s">
        <v>1594</v>
      </c>
      <c r="B70" s="358">
        <v>1321.0</v>
      </c>
      <c r="C70" s="358" t="s">
        <v>1595</v>
      </c>
      <c r="D70" s="359">
        <v>29789.0</v>
      </c>
      <c r="E70" s="358">
        <v>3.41548194E8</v>
      </c>
      <c r="F70" s="358" t="s">
        <v>1596</v>
      </c>
      <c r="G70" s="360" t="s">
        <v>1058</v>
      </c>
      <c r="H70" s="358" t="s">
        <v>1597</v>
      </c>
      <c r="I70" s="362" t="s">
        <v>1598</v>
      </c>
      <c r="J70" s="358">
        <v>8.3590161E7</v>
      </c>
      <c r="K70" s="358" t="s">
        <v>1061</v>
      </c>
      <c r="L70" s="358" t="s">
        <v>1599</v>
      </c>
      <c r="M70" s="358" t="s">
        <v>1063</v>
      </c>
      <c r="N70" s="358" t="s">
        <v>1600</v>
      </c>
      <c r="O70" s="358" t="s">
        <v>1601</v>
      </c>
    </row>
    <row r="71">
      <c r="A71" s="358" t="s">
        <v>1602</v>
      </c>
      <c r="B71" s="358">
        <v>483.0</v>
      </c>
      <c r="C71" s="358" t="s">
        <v>1115</v>
      </c>
      <c r="D71" s="359">
        <v>30756.0</v>
      </c>
      <c r="E71" s="358">
        <v>6.86549752E8</v>
      </c>
      <c r="F71" s="358" t="s">
        <v>1603</v>
      </c>
      <c r="G71" s="360" t="s">
        <v>1058</v>
      </c>
      <c r="H71" s="358" t="s">
        <v>1604</v>
      </c>
      <c r="I71" s="362" t="s">
        <v>1605</v>
      </c>
      <c r="J71" s="358">
        <v>7.0646945E7</v>
      </c>
      <c r="K71" s="358" t="s">
        <v>1061</v>
      </c>
      <c r="L71" s="358" t="s">
        <v>1606</v>
      </c>
      <c r="M71" s="358" t="s">
        <v>1063</v>
      </c>
      <c r="N71" s="358" t="s">
        <v>1607</v>
      </c>
      <c r="O71" s="358" t="s">
        <v>1608</v>
      </c>
    </row>
    <row r="72">
      <c r="A72" s="358" t="s">
        <v>1609</v>
      </c>
      <c r="B72" s="358">
        <v>1125.0</v>
      </c>
      <c r="C72" s="358" t="s">
        <v>1610</v>
      </c>
      <c r="D72" s="359">
        <v>32591.0</v>
      </c>
      <c r="E72" s="358">
        <v>3.06435238E8</v>
      </c>
      <c r="F72" s="358" t="s">
        <v>1611</v>
      </c>
      <c r="G72" s="360" t="s">
        <v>1058</v>
      </c>
      <c r="H72" s="358" t="s">
        <v>1612</v>
      </c>
      <c r="I72" s="362" t="s">
        <v>1613</v>
      </c>
      <c r="J72" s="358">
        <v>8.03483E7</v>
      </c>
      <c r="K72" s="358" t="s">
        <v>1061</v>
      </c>
      <c r="L72" s="358" t="s">
        <v>1614</v>
      </c>
      <c r="M72" s="358" t="s">
        <v>1151</v>
      </c>
      <c r="N72" s="358" t="s">
        <v>1615</v>
      </c>
      <c r="O72" s="358" t="s">
        <v>1616</v>
      </c>
    </row>
    <row r="73">
      <c r="A73" s="358" t="s">
        <v>1617</v>
      </c>
      <c r="B73" s="358">
        <v>452.0</v>
      </c>
      <c r="C73" s="358" t="s">
        <v>1618</v>
      </c>
      <c r="D73" s="359">
        <v>33468.0</v>
      </c>
      <c r="E73" s="358">
        <v>6.69385451E8</v>
      </c>
      <c r="F73" s="358" t="s">
        <v>1619</v>
      </c>
      <c r="G73" s="358" t="s">
        <v>1620</v>
      </c>
      <c r="H73" s="358" t="s">
        <v>1621</v>
      </c>
      <c r="I73" s="362" t="s">
        <v>1622</v>
      </c>
      <c r="J73" s="358">
        <v>6.9221529E7</v>
      </c>
      <c r="K73" s="358" t="s">
        <v>1061</v>
      </c>
      <c r="L73" s="358" t="s">
        <v>1623</v>
      </c>
      <c r="M73" s="358" t="s">
        <v>1151</v>
      </c>
      <c r="N73" s="358" t="s">
        <v>1624</v>
      </c>
      <c r="O73" s="358" t="s">
        <v>1625</v>
      </c>
    </row>
    <row r="74">
      <c r="A74" s="358" t="s">
        <v>1626</v>
      </c>
      <c r="B74" s="358">
        <v>591.0</v>
      </c>
      <c r="C74" s="358" t="s">
        <v>1627</v>
      </c>
      <c r="D74" s="359">
        <v>26594.0</v>
      </c>
      <c r="E74" s="358">
        <v>2.53712361E8</v>
      </c>
      <c r="F74" s="358" t="s">
        <v>1124</v>
      </c>
      <c r="G74" s="360" t="s">
        <v>1058</v>
      </c>
      <c r="H74" s="358" t="s">
        <v>1125</v>
      </c>
      <c r="I74" s="362" t="s">
        <v>1628</v>
      </c>
      <c r="J74" s="358">
        <v>7.187259E7</v>
      </c>
      <c r="K74" s="358" t="s">
        <v>1061</v>
      </c>
      <c r="L74" s="358" t="s">
        <v>1629</v>
      </c>
      <c r="M74" s="358" t="s">
        <v>1063</v>
      </c>
      <c r="N74" s="358" t="s">
        <v>1630</v>
      </c>
      <c r="O74" s="358" t="s">
        <v>1129</v>
      </c>
    </row>
    <row r="75">
      <c r="A75" s="358" t="s">
        <v>1631</v>
      </c>
      <c r="B75" s="358">
        <v>1190.0</v>
      </c>
      <c r="C75" s="358" t="s">
        <v>1627</v>
      </c>
      <c r="D75" s="359">
        <v>31717.0</v>
      </c>
      <c r="E75" s="358">
        <v>3.60312986E8</v>
      </c>
      <c r="F75" s="358" t="s">
        <v>1632</v>
      </c>
      <c r="G75" s="360" t="s">
        <v>1058</v>
      </c>
      <c r="H75" s="358" t="s">
        <v>1633</v>
      </c>
      <c r="I75" s="362" t="s">
        <v>1634</v>
      </c>
      <c r="J75" s="358">
        <v>6.5562119E7</v>
      </c>
      <c r="K75" s="358" t="s">
        <v>1061</v>
      </c>
      <c r="L75" s="358" t="s">
        <v>1635</v>
      </c>
      <c r="M75" s="358" t="s">
        <v>1063</v>
      </c>
      <c r="N75" s="358" t="s">
        <v>1636</v>
      </c>
      <c r="O75" s="358" t="s">
        <v>1637</v>
      </c>
    </row>
    <row r="76">
      <c r="A76" s="358" t="s">
        <v>1638</v>
      </c>
      <c r="B76" s="358">
        <v>1650.0</v>
      </c>
      <c r="C76" s="358" t="s">
        <v>1639</v>
      </c>
      <c r="D76" s="359">
        <v>37331.0</v>
      </c>
      <c r="E76" s="358">
        <v>6.79235899E8</v>
      </c>
      <c r="F76" s="358" t="s">
        <v>1640</v>
      </c>
      <c r="G76" s="360" t="s">
        <v>1058</v>
      </c>
      <c r="H76" s="358" t="s">
        <v>1641</v>
      </c>
      <c r="I76" s="361" t="s">
        <v>1642</v>
      </c>
      <c r="J76" s="358">
        <v>9.4421277E7</v>
      </c>
      <c r="K76" s="358" t="s">
        <v>1061</v>
      </c>
      <c r="L76" s="358" t="s">
        <v>1643</v>
      </c>
      <c r="M76" s="358" t="s">
        <v>1063</v>
      </c>
      <c r="N76" s="358" t="s">
        <v>1644</v>
      </c>
      <c r="O76" s="358" t="s">
        <v>1645</v>
      </c>
    </row>
    <row r="77">
      <c r="A77" s="358" t="s">
        <v>1646</v>
      </c>
      <c r="B77" s="358">
        <v>908.0</v>
      </c>
      <c r="C77" s="358" t="s">
        <v>1448</v>
      </c>
      <c r="D77" s="359">
        <v>22107.0</v>
      </c>
      <c r="E77" s="358">
        <v>1.26248175E8</v>
      </c>
      <c r="F77" s="358" t="s">
        <v>1449</v>
      </c>
      <c r="G77" s="360" t="s">
        <v>1058</v>
      </c>
      <c r="H77" s="358" t="s">
        <v>1450</v>
      </c>
      <c r="I77" s="362" t="s">
        <v>1451</v>
      </c>
      <c r="J77" s="358">
        <v>6.6740975E7</v>
      </c>
      <c r="K77" s="358" t="s">
        <v>1647</v>
      </c>
      <c r="L77" s="358" t="s">
        <v>1648</v>
      </c>
      <c r="M77" s="358" t="s">
        <v>1063</v>
      </c>
      <c r="N77" s="358" t="s">
        <v>1649</v>
      </c>
      <c r="O77" s="358" t="s">
        <v>1454</v>
      </c>
    </row>
    <row r="78">
      <c r="A78" s="358" t="s">
        <v>1650</v>
      </c>
      <c r="B78" s="358">
        <v>1450.0</v>
      </c>
      <c r="C78" s="154"/>
      <c r="D78" s="154"/>
      <c r="E78" s="154"/>
      <c r="F78" s="154"/>
      <c r="G78" s="360" t="s">
        <v>1058</v>
      </c>
      <c r="I78" s="363"/>
      <c r="J78" s="154"/>
      <c r="K78" s="358" t="s">
        <v>1061</v>
      </c>
      <c r="L78" s="154"/>
      <c r="M78" s="154"/>
      <c r="N78" s="154"/>
      <c r="O78" s="154"/>
    </row>
    <row r="79">
      <c r="A79" s="358" t="s">
        <v>1651</v>
      </c>
      <c r="B79" s="358">
        <v>1450.0</v>
      </c>
      <c r="C79" s="358" t="s">
        <v>1595</v>
      </c>
      <c r="D79" s="359">
        <v>33132.0</v>
      </c>
      <c r="E79" s="358">
        <v>2.55501237E8</v>
      </c>
      <c r="F79" s="358" t="s">
        <v>1449</v>
      </c>
      <c r="G79" s="360" t="s">
        <v>1058</v>
      </c>
      <c r="H79" s="358" t="s">
        <v>1450</v>
      </c>
      <c r="I79" s="361" t="s">
        <v>1652</v>
      </c>
      <c r="J79" s="358">
        <v>8.9061136E7</v>
      </c>
      <c r="K79" s="358" t="s">
        <v>1061</v>
      </c>
      <c r="L79" s="358" t="s">
        <v>1653</v>
      </c>
      <c r="M79" s="358" t="s">
        <v>1063</v>
      </c>
      <c r="N79" s="358" t="s">
        <v>1654</v>
      </c>
      <c r="O79" s="358" t="s">
        <v>1655</v>
      </c>
    </row>
    <row r="80">
      <c r="A80" s="358" t="s">
        <v>1656</v>
      </c>
      <c r="B80" s="358">
        <v>907.0</v>
      </c>
      <c r="C80" s="358" t="s">
        <v>1448</v>
      </c>
      <c r="D80" s="359">
        <v>22107.0</v>
      </c>
      <c r="E80" s="358">
        <v>1.26248175E8</v>
      </c>
      <c r="F80" s="358" t="s">
        <v>1449</v>
      </c>
      <c r="G80" s="360" t="s">
        <v>1058</v>
      </c>
      <c r="H80" s="358" t="s">
        <v>1450</v>
      </c>
      <c r="I80" s="362" t="s">
        <v>1451</v>
      </c>
      <c r="J80" s="358">
        <v>6.6738563E7</v>
      </c>
      <c r="K80" s="358" t="s">
        <v>1061</v>
      </c>
      <c r="L80" s="358" t="s">
        <v>1657</v>
      </c>
      <c r="M80" s="358" t="s">
        <v>1063</v>
      </c>
      <c r="N80" s="358" t="s">
        <v>1658</v>
      </c>
      <c r="O80" s="358" t="s">
        <v>1454</v>
      </c>
    </row>
    <row r="81">
      <c r="A81" s="358" t="s">
        <v>1659</v>
      </c>
      <c r="B81" s="358">
        <v>614.0</v>
      </c>
      <c r="C81" s="358" t="s">
        <v>1448</v>
      </c>
      <c r="D81" s="359">
        <v>22107.0</v>
      </c>
      <c r="E81" s="358">
        <v>1.26248175E8</v>
      </c>
      <c r="F81" s="358" t="s">
        <v>1449</v>
      </c>
      <c r="G81" s="360" t="s">
        <v>1058</v>
      </c>
      <c r="H81" s="358" t="s">
        <v>1450</v>
      </c>
      <c r="I81" s="362" t="s">
        <v>1451</v>
      </c>
      <c r="J81" s="358">
        <v>7.2252324E7</v>
      </c>
      <c r="K81" s="358" t="s">
        <v>1061</v>
      </c>
      <c r="L81" s="358" t="s">
        <v>1660</v>
      </c>
      <c r="M81" s="358" t="s">
        <v>1063</v>
      </c>
      <c r="N81" s="358" t="s">
        <v>1661</v>
      </c>
      <c r="O81" s="358" t="s">
        <v>1454</v>
      </c>
    </row>
    <row r="82">
      <c r="A82" s="358" t="s">
        <v>1662</v>
      </c>
      <c r="B82" s="358">
        <v>984.0</v>
      </c>
      <c r="C82" s="358" t="s">
        <v>1448</v>
      </c>
      <c r="D82" s="359">
        <v>22107.0</v>
      </c>
      <c r="E82" s="358">
        <v>1.26248175E8</v>
      </c>
      <c r="F82" s="358" t="s">
        <v>1449</v>
      </c>
      <c r="G82" s="360" t="s">
        <v>1058</v>
      </c>
      <c r="H82" s="358" t="s">
        <v>1450</v>
      </c>
      <c r="I82" s="362" t="s">
        <v>1663</v>
      </c>
      <c r="J82" s="358">
        <v>7.822769E7</v>
      </c>
      <c r="K82" s="358" t="s">
        <v>1061</v>
      </c>
      <c r="L82" s="358" t="s">
        <v>1664</v>
      </c>
      <c r="M82" s="358" t="s">
        <v>1063</v>
      </c>
      <c r="N82" s="358" t="s">
        <v>1665</v>
      </c>
      <c r="O82" s="358" t="s">
        <v>1454</v>
      </c>
    </row>
    <row r="83">
      <c r="A83" s="358" t="s">
        <v>1666</v>
      </c>
      <c r="B83" s="358">
        <v>1585.0</v>
      </c>
      <c r="C83" s="358" t="s">
        <v>1667</v>
      </c>
      <c r="D83" s="359">
        <v>32881.0</v>
      </c>
      <c r="E83" s="358">
        <v>3.23672231E8</v>
      </c>
      <c r="F83" s="358" t="s">
        <v>1668</v>
      </c>
      <c r="G83" s="360" t="s">
        <v>1058</v>
      </c>
      <c r="H83" s="358" t="s">
        <v>1669</v>
      </c>
      <c r="I83" s="362" t="s">
        <v>1670</v>
      </c>
      <c r="J83" s="358">
        <v>8.5935433E7</v>
      </c>
      <c r="K83" s="358" t="s">
        <v>1061</v>
      </c>
      <c r="L83" s="358" t="s">
        <v>1671</v>
      </c>
      <c r="M83" s="358" t="s">
        <v>1063</v>
      </c>
      <c r="N83" s="358" t="s">
        <v>1672</v>
      </c>
      <c r="O83" s="358" t="s">
        <v>1673</v>
      </c>
    </row>
    <row r="84">
      <c r="A84" s="358" t="s">
        <v>1674</v>
      </c>
      <c r="B84" s="358">
        <v>1059.0</v>
      </c>
      <c r="C84" s="358" t="s">
        <v>1675</v>
      </c>
      <c r="D84" s="359">
        <v>35848.0</v>
      </c>
      <c r="E84" s="358">
        <v>6.27400838E8</v>
      </c>
      <c r="F84" s="358" t="s">
        <v>1676</v>
      </c>
      <c r="G84" s="360" t="s">
        <v>1058</v>
      </c>
      <c r="H84" s="358" t="s">
        <v>1677</v>
      </c>
      <c r="I84" s="362" t="s">
        <v>1678</v>
      </c>
      <c r="J84" s="358">
        <v>8.1592531E7</v>
      </c>
      <c r="K84" s="358" t="s">
        <v>1061</v>
      </c>
      <c r="L84" s="358" t="s">
        <v>1679</v>
      </c>
      <c r="M84" s="358" t="s">
        <v>1063</v>
      </c>
      <c r="N84" s="358" t="s">
        <v>1680</v>
      </c>
      <c r="O84" s="358" t="s">
        <v>1681</v>
      </c>
    </row>
    <row r="85">
      <c r="A85" s="358" t="s">
        <v>1682</v>
      </c>
      <c r="B85" s="358">
        <v>1612.0</v>
      </c>
      <c r="C85" s="358" t="s">
        <v>1683</v>
      </c>
      <c r="D85" s="359">
        <v>30649.0</v>
      </c>
      <c r="E85" s="358">
        <v>5.10758496E8</v>
      </c>
      <c r="F85" s="358" t="s">
        <v>1684</v>
      </c>
      <c r="G85" s="360" t="s">
        <v>1058</v>
      </c>
      <c r="H85" s="358" t="s">
        <v>1685</v>
      </c>
      <c r="I85" s="362" t="s">
        <v>1686</v>
      </c>
      <c r="J85" s="358">
        <v>9.3778252E7</v>
      </c>
      <c r="K85" s="358" t="s">
        <v>1061</v>
      </c>
      <c r="L85" s="358" t="s">
        <v>1687</v>
      </c>
      <c r="M85" s="358" t="s">
        <v>1063</v>
      </c>
      <c r="N85" s="358" t="s">
        <v>1688</v>
      </c>
      <c r="O85" s="358" t="s">
        <v>1417</v>
      </c>
    </row>
    <row r="86">
      <c r="A86" s="358" t="s">
        <v>1689</v>
      </c>
      <c r="B86" s="358">
        <v>1090.0</v>
      </c>
      <c r="C86" s="358" t="s">
        <v>1610</v>
      </c>
      <c r="D86" s="359">
        <v>35255.0</v>
      </c>
      <c r="E86" s="358">
        <v>6.45456305E8</v>
      </c>
      <c r="F86" s="358" t="s">
        <v>1690</v>
      </c>
      <c r="G86" s="360" t="s">
        <v>1058</v>
      </c>
      <c r="H86" s="358" t="s">
        <v>1691</v>
      </c>
      <c r="I86" s="362" t="s">
        <v>1692</v>
      </c>
      <c r="J86" s="358">
        <v>9.745423E7</v>
      </c>
      <c r="K86" s="358" t="s">
        <v>1693</v>
      </c>
      <c r="L86" s="358" t="s">
        <v>1694</v>
      </c>
      <c r="M86" s="358" t="s">
        <v>1063</v>
      </c>
      <c r="N86" s="358" t="s">
        <v>1695</v>
      </c>
      <c r="O86" s="358" t="s">
        <v>1696</v>
      </c>
    </row>
    <row r="87">
      <c r="A87" s="358" t="s">
        <v>1697</v>
      </c>
      <c r="B87" s="358">
        <v>1718.0</v>
      </c>
      <c r="C87" s="358" t="s">
        <v>1698</v>
      </c>
      <c r="D87" s="359">
        <v>25587.0</v>
      </c>
      <c r="E87" s="358">
        <v>5.25522396E8</v>
      </c>
      <c r="F87" s="358" t="s">
        <v>1699</v>
      </c>
      <c r="G87" s="360" t="s">
        <v>1058</v>
      </c>
      <c r="H87" s="358" t="s">
        <v>1700</v>
      </c>
      <c r="I87" s="362" t="s">
        <v>1701</v>
      </c>
      <c r="J87" s="358">
        <v>9.7909491E7</v>
      </c>
      <c r="K87" s="358" t="s">
        <v>1061</v>
      </c>
      <c r="L87" s="358" t="s">
        <v>1702</v>
      </c>
      <c r="M87" s="358" t="s">
        <v>1063</v>
      </c>
      <c r="N87" s="358" t="s">
        <v>1703</v>
      </c>
      <c r="O87" s="358" t="s">
        <v>1704</v>
      </c>
    </row>
    <row r="88">
      <c r="A88" s="358" t="s">
        <v>1705</v>
      </c>
      <c r="B88" s="358">
        <v>845.0</v>
      </c>
      <c r="C88" s="358" t="s">
        <v>1572</v>
      </c>
      <c r="D88" s="359">
        <v>33522.0</v>
      </c>
      <c r="E88" s="358">
        <v>2.92203305E8</v>
      </c>
      <c r="F88" s="358" t="s">
        <v>1706</v>
      </c>
      <c r="G88" s="360" t="s">
        <v>1058</v>
      </c>
      <c r="H88" s="358" t="s">
        <v>1707</v>
      </c>
      <c r="I88" s="362" t="s">
        <v>1708</v>
      </c>
      <c r="J88" s="358">
        <v>7.5395142E7</v>
      </c>
      <c r="K88" s="358" t="s">
        <v>1061</v>
      </c>
      <c r="L88" s="358" t="s">
        <v>1709</v>
      </c>
      <c r="M88" s="358" t="s">
        <v>1063</v>
      </c>
      <c r="N88" s="358" t="s">
        <v>1710</v>
      </c>
      <c r="O88" s="358" t="s">
        <v>1711</v>
      </c>
    </row>
    <row r="89">
      <c r="A89" s="358" t="s">
        <v>1712</v>
      </c>
      <c r="B89" s="358">
        <v>773.0</v>
      </c>
      <c r="C89" s="358" t="s">
        <v>1168</v>
      </c>
      <c r="D89" s="359">
        <v>28992.0</v>
      </c>
      <c r="E89" s="358">
        <v>5.1586005E8</v>
      </c>
      <c r="F89" s="358" t="s">
        <v>1713</v>
      </c>
      <c r="G89" s="360" t="s">
        <v>1058</v>
      </c>
      <c r="H89" s="358" t="s">
        <v>1714</v>
      </c>
      <c r="I89" s="362" t="s">
        <v>1715</v>
      </c>
      <c r="J89" s="358">
        <v>6.3264161E7</v>
      </c>
      <c r="K89" s="358" t="s">
        <v>1061</v>
      </c>
      <c r="L89" s="358" t="s">
        <v>1716</v>
      </c>
      <c r="M89" s="358" t="s">
        <v>1063</v>
      </c>
      <c r="N89" s="358" t="s">
        <v>1717</v>
      </c>
      <c r="O89" s="358" t="s">
        <v>1718</v>
      </c>
    </row>
    <row r="90">
      <c r="A90" s="358" t="s">
        <v>1719</v>
      </c>
      <c r="B90" s="358">
        <v>73.0</v>
      </c>
      <c r="C90" s="358" t="s">
        <v>1720</v>
      </c>
      <c r="D90" s="359">
        <v>26018.0</v>
      </c>
      <c r="E90" s="358">
        <v>2.81556763E8</v>
      </c>
      <c r="F90" s="358" t="s">
        <v>1721</v>
      </c>
      <c r="G90" s="360" t="s">
        <v>1058</v>
      </c>
      <c r="H90" s="358" t="s">
        <v>1722</v>
      </c>
      <c r="I90" s="362" t="s">
        <v>1723</v>
      </c>
      <c r="J90" s="358">
        <v>6.4473511E7</v>
      </c>
      <c r="K90" s="358" t="s">
        <v>1061</v>
      </c>
      <c r="L90" s="358" t="s">
        <v>1724</v>
      </c>
      <c r="M90" s="358" t="s">
        <v>1063</v>
      </c>
      <c r="N90" s="358" t="s">
        <v>1725</v>
      </c>
      <c r="O90" s="358" t="s">
        <v>1726</v>
      </c>
    </row>
    <row r="91">
      <c r="A91" s="358" t="s">
        <v>1727</v>
      </c>
      <c r="B91" s="358">
        <v>1105.0</v>
      </c>
      <c r="C91" s="358" t="s">
        <v>1728</v>
      </c>
      <c r="D91" s="359">
        <v>32464.0</v>
      </c>
      <c r="E91" s="358">
        <v>4.97898664E8</v>
      </c>
      <c r="F91" s="358" t="s">
        <v>1729</v>
      </c>
      <c r="G91" s="360" t="s">
        <v>1058</v>
      </c>
      <c r="H91" s="358" t="s">
        <v>1730</v>
      </c>
      <c r="I91" s="362" t="s">
        <v>1731</v>
      </c>
      <c r="J91" s="358">
        <v>8.1825196E7</v>
      </c>
      <c r="K91" s="358" t="s">
        <v>1732</v>
      </c>
      <c r="L91" s="358" t="s">
        <v>1733</v>
      </c>
      <c r="M91" s="358" t="s">
        <v>1063</v>
      </c>
      <c r="N91" s="358" t="s">
        <v>1734</v>
      </c>
      <c r="O91" s="358" t="s">
        <v>1735</v>
      </c>
    </row>
    <row r="92">
      <c r="A92" s="358" t="s">
        <v>1736</v>
      </c>
      <c r="B92" s="358">
        <v>1137.0</v>
      </c>
      <c r="C92" s="358" t="s">
        <v>1349</v>
      </c>
      <c r="D92" s="359">
        <v>32062.0</v>
      </c>
      <c r="E92" s="358">
        <v>3.27975313E8</v>
      </c>
      <c r="F92" s="358" t="s">
        <v>1737</v>
      </c>
      <c r="G92" s="358" t="s">
        <v>1265</v>
      </c>
      <c r="H92" s="358" t="s">
        <v>1738</v>
      </c>
      <c r="I92" s="362" t="s">
        <v>1739</v>
      </c>
      <c r="J92" s="358">
        <v>8.2251096E7</v>
      </c>
      <c r="K92" s="358" t="s">
        <v>1061</v>
      </c>
      <c r="L92" s="358" t="s">
        <v>1740</v>
      </c>
      <c r="M92" s="358" t="s">
        <v>1063</v>
      </c>
      <c r="N92" s="358" t="s">
        <v>1741</v>
      </c>
      <c r="O92" s="358" t="s">
        <v>1742</v>
      </c>
    </row>
    <row r="93">
      <c r="A93" s="358" t="s">
        <v>1743</v>
      </c>
      <c r="B93" s="358">
        <v>372.0</v>
      </c>
      <c r="C93" s="358" t="s">
        <v>151</v>
      </c>
      <c r="D93" s="359">
        <v>28204.0</v>
      </c>
      <c r="E93" s="358">
        <v>3.04263345E8</v>
      </c>
      <c r="F93" s="358" t="s">
        <v>1744</v>
      </c>
      <c r="G93" s="358" t="s">
        <v>1574</v>
      </c>
      <c r="H93" s="358" t="s">
        <v>1745</v>
      </c>
      <c r="I93" s="362" t="s">
        <v>1746</v>
      </c>
      <c r="J93" s="358">
        <v>6.6186625E7</v>
      </c>
      <c r="K93" s="358" t="s">
        <v>1061</v>
      </c>
      <c r="L93" s="358" t="s">
        <v>1747</v>
      </c>
      <c r="M93" s="358" t="s">
        <v>1063</v>
      </c>
      <c r="N93" s="358" t="s">
        <v>1748</v>
      </c>
      <c r="O93" s="358" t="s">
        <v>1749</v>
      </c>
    </row>
    <row r="94">
      <c r="A94" s="358" t="s">
        <v>1750</v>
      </c>
      <c r="B94" s="358">
        <v>1502.0</v>
      </c>
      <c r="C94" s="358" t="s">
        <v>1199</v>
      </c>
      <c r="D94" s="359">
        <v>32411.0</v>
      </c>
      <c r="E94" s="358">
        <v>4.51634044E8</v>
      </c>
      <c r="F94" s="358" t="s">
        <v>1751</v>
      </c>
      <c r="G94" s="360" t="s">
        <v>1058</v>
      </c>
      <c r="H94" s="358" t="s">
        <v>1752</v>
      </c>
      <c r="I94" s="362" t="s">
        <v>1753</v>
      </c>
      <c r="J94" s="358">
        <v>9.0503295E7</v>
      </c>
      <c r="K94" s="358" t="s">
        <v>1061</v>
      </c>
      <c r="L94" s="358" t="s">
        <v>1754</v>
      </c>
      <c r="M94" s="358" t="s">
        <v>1063</v>
      </c>
      <c r="N94" s="358" t="s">
        <v>1755</v>
      </c>
      <c r="O94" s="358" t="s">
        <v>1756</v>
      </c>
    </row>
    <row r="95">
      <c r="A95" s="358" t="s">
        <v>1757</v>
      </c>
      <c r="B95" s="358">
        <v>1660.0</v>
      </c>
      <c r="C95" s="358" t="s">
        <v>1758</v>
      </c>
      <c r="D95" s="359">
        <v>32046.0</v>
      </c>
      <c r="E95" s="358">
        <v>5.19155737E8</v>
      </c>
      <c r="F95" s="358" t="s">
        <v>1759</v>
      </c>
      <c r="G95" s="360" t="s">
        <v>1058</v>
      </c>
      <c r="H95" s="358" t="s">
        <v>1760</v>
      </c>
      <c r="I95" s="361" t="s">
        <v>1761</v>
      </c>
      <c r="J95" s="358">
        <v>9.4947082E7</v>
      </c>
      <c r="K95" s="358" t="s">
        <v>1061</v>
      </c>
      <c r="L95" s="358" t="s">
        <v>1762</v>
      </c>
      <c r="M95" s="358" t="s">
        <v>1063</v>
      </c>
      <c r="N95" s="358" t="s">
        <v>1763</v>
      </c>
      <c r="O95" s="358" t="s">
        <v>1764</v>
      </c>
    </row>
    <row r="96">
      <c r="A96" s="358" t="s">
        <v>1765</v>
      </c>
      <c r="B96" s="358">
        <v>1282.0</v>
      </c>
      <c r="C96" s="358" t="s">
        <v>1618</v>
      </c>
      <c r="D96" s="359">
        <v>28936.0</v>
      </c>
      <c r="E96" s="358">
        <v>5.82334998E8</v>
      </c>
      <c r="F96" s="358" t="s">
        <v>1766</v>
      </c>
      <c r="G96" s="360" t="s">
        <v>1058</v>
      </c>
      <c r="H96" s="358" t="s">
        <v>1767</v>
      </c>
      <c r="I96" s="362" t="s">
        <v>1768</v>
      </c>
      <c r="J96" s="358">
        <v>8.3919384E7</v>
      </c>
      <c r="K96" s="358" t="s">
        <v>1061</v>
      </c>
      <c r="L96" s="358" t="s">
        <v>1769</v>
      </c>
      <c r="M96" s="358" t="s">
        <v>1063</v>
      </c>
      <c r="N96" s="358" t="s">
        <v>1770</v>
      </c>
      <c r="O96" s="358" t="s">
        <v>1771</v>
      </c>
    </row>
    <row r="97">
      <c r="A97" s="358" t="s">
        <v>1772</v>
      </c>
      <c r="B97" s="358">
        <v>1627.0</v>
      </c>
      <c r="C97" s="358" t="s">
        <v>1773</v>
      </c>
      <c r="D97" s="359">
        <v>33689.0</v>
      </c>
      <c r="E97" s="358">
        <v>3.48972386E8</v>
      </c>
      <c r="F97" s="358" t="s">
        <v>1774</v>
      </c>
      <c r="G97" s="360" t="s">
        <v>1058</v>
      </c>
      <c r="H97" s="358" t="s">
        <v>1775</v>
      </c>
      <c r="I97" s="362" t="s">
        <v>1776</v>
      </c>
      <c r="J97" s="358">
        <v>9.3767145E7</v>
      </c>
      <c r="K97" s="358" t="s">
        <v>1061</v>
      </c>
      <c r="L97" s="358" t="s">
        <v>1777</v>
      </c>
      <c r="M97" s="358" t="s">
        <v>1151</v>
      </c>
      <c r="N97" s="358" t="s">
        <v>1778</v>
      </c>
      <c r="O97" s="358" t="s">
        <v>1779</v>
      </c>
    </row>
    <row r="98">
      <c r="A98" s="358" t="s">
        <v>1780</v>
      </c>
      <c r="B98" s="358">
        <v>1112.0</v>
      </c>
      <c r="C98" s="358" t="s">
        <v>1781</v>
      </c>
      <c r="D98" s="359">
        <v>30180.0</v>
      </c>
      <c r="E98" s="358">
        <v>3.18483683E8</v>
      </c>
      <c r="F98" s="358" t="s">
        <v>1782</v>
      </c>
      <c r="G98" s="360" t="s">
        <v>1058</v>
      </c>
      <c r="H98" s="358" t="s">
        <v>1783</v>
      </c>
      <c r="I98" s="362" t="s">
        <v>1784</v>
      </c>
      <c r="J98" s="358">
        <v>7.2312084E7</v>
      </c>
      <c r="K98" s="358" t="s">
        <v>1061</v>
      </c>
      <c r="L98" s="358" t="s">
        <v>1785</v>
      </c>
      <c r="M98" s="358" t="s">
        <v>1063</v>
      </c>
      <c r="N98" s="358" t="s">
        <v>1786</v>
      </c>
      <c r="O98" s="358" t="s">
        <v>1637</v>
      </c>
    </row>
    <row r="99">
      <c r="A99" s="358" t="s">
        <v>1787</v>
      </c>
      <c r="B99" s="358">
        <v>1132.0</v>
      </c>
      <c r="C99" s="358" t="s">
        <v>1066</v>
      </c>
      <c r="D99" s="359">
        <v>31896.0</v>
      </c>
      <c r="E99" s="358">
        <v>3.23066859E8</v>
      </c>
      <c r="F99" s="358" t="s">
        <v>1788</v>
      </c>
      <c r="G99" s="360" t="s">
        <v>1058</v>
      </c>
      <c r="H99" s="358" t="s">
        <v>1789</v>
      </c>
      <c r="I99" s="362" t="s">
        <v>1790</v>
      </c>
      <c r="J99" s="358">
        <v>8.1934769E7</v>
      </c>
      <c r="K99" s="358" t="s">
        <v>1061</v>
      </c>
      <c r="L99" s="358" t="s">
        <v>1791</v>
      </c>
      <c r="M99" s="358" t="s">
        <v>1063</v>
      </c>
      <c r="N99" s="358" t="s">
        <v>1792</v>
      </c>
      <c r="O99" s="358" t="s">
        <v>1793</v>
      </c>
    </row>
    <row r="100">
      <c r="A100" s="358" t="s">
        <v>1794</v>
      </c>
      <c r="B100" s="358">
        <v>1270.0</v>
      </c>
      <c r="C100" s="358" t="s">
        <v>1795</v>
      </c>
      <c r="D100" s="359">
        <v>32943.0</v>
      </c>
      <c r="E100" s="358">
        <v>4.19066627E8</v>
      </c>
      <c r="F100" s="358" t="s">
        <v>1796</v>
      </c>
      <c r="G100" s="360" t="s">
        <v>1058</v>
      </c>
      <c r="H100" s="358" t="s">
        <v>1797</v>
      </c>
      <c r="I100" s="362" t="s">
        <v>1798</v>
      </c>
      <c r="J100" s="358">
        <v>9.731215E7</v>
      </c>
      <c r="K100" s="358" t="s">
        <v>1799</v>
      </c>
      <c r="L100" s="358" t="s">
        <v>1800</v>
      </c>
      <c r="M100" s="358" t="s">
        <v>1063</v>
      </c>
      <c r="N100" s="358" t="s">
        <v>1801</v>
      </c>
      <c r="O100" s="358" t="s">
        <v>1802</v>
      </c>
    </row>
    <row r="101">
      <c r="A101" s="358" t="s">
        <v>1803</v>
      </c>
      <c r="B101" s="358">
        <v>1604.0</v>
      </c>
      <c r="C101" s="358" t="s">
        <v>1804</v>
      </c>
      <c r="D101" s="359">
        <v>34200.0</v>
      </c>
      <c r="E101" s="358">
        <v>3.86004079E8</v>
      </c>
      <c r="F101" s="358" t="s">
        <v>1805</v>
      </c>
      <c r="G101" s="358" t="s">
        <v>1473</v>
      </c>
      <c r="H101" s="358" t="s">
        <v>1806</v>
      </c>
      <c r="I101" s="362" t="s">
        <v>1807</v>
      </c>
      <c r="J101" s="358">
        <v>9.2720986E7</v>
      </c>
      <c r="K101" s="358" t="s">
        <v>1061</v>
      </c>
      <c r="L101" s="358" t="s">
        <v>1808</v>
      </c>
      <c r="M101" s="358" t="s">
        <v>1063</v>
      </c>
      <c r="N101" s="358" t="s">
        <v>1809</v>
      </c>
      <c r="O101" s="358" t="s">
        <v>1810</v>
      </c>
    </row>
    <row r="102">
      <c r="A102" s="358" t="s">
        <v>1811</v>
      </c>
      <c r="B102" s="358">
        <v>581.0</v>
      </c>
      <c r="C102" s="358" t="s">
        <v>1812</v>
      </c>
      <c r="D102" s="359">
        <v>29999.0</v>
      </c>
      <c r="E102" s="358">
        <v>2.95549579E8</v>
      </c>
      <c r="F102" s="358" t="s">
        <v>1729</v>
      </c>
      <c r="G102" s="360" t="s">
        <v>1058</v>
      </c>
      <c r="H102" s="358" t="s">
        <v>1730</v>
      </c>
      <c r="I102" s="362" t="s">
        <v>1813</v>
      </c>
      <c r="J102" s="358">
        <v>7.1631119E7</v>
      </c>
      <c r="K102" s="358" t="s">
        <v>1061</v>
      </c>
      <c r="L102" s="358" t="s">
        <v>1814</v>
      </c>
      <c r="M102" s="358" t="s">
        <v>1063</v>
      </c>
      <c r="N102" s="358" t="s">
        <v>1815</v>
      </c>
      <c r="O102" s="358" t="s">
        <v>1816</v>
      </c>
    </row>
    <row r="103">
      <c r="A103" s="358" t="s">
        <v>1817</v>
      </c>
      <c r="B103" s="358">
        <v>1542.0</v>
      </c>
      <c r="C103" s="358" t="s">
        <v>1781</v>
      </c>
      <c r="D103" s="359">
        <v>37883.0</v>
      </c>
      <c r="E103" s="358">
        <v>6.41602972E8</v>
      </c>
      <c r="F103" s="358" t="s">
        <v>1124</v>
      </c>
      <c r="G103" s="360" t="s">
        <v>1058</v>
      </c>
      <c r="H103" s="358" t="s">
        <v>1125</v>
      </c>
      <c r="I103" s="362" t="s">
        <v>1818</v>
      </c>
      <c r="J103" s="358">
        <v>9.1673801E7</v>
      </c>
      <c r="K103" s="358" t="s">
        <v>1061</v>
      </c>
      <c r="L103" s="358" t="s">
        <v>1819</v>
      </c>
      <c r="M103" s="358" t="s">
        <v>1063</v>
      </c>
      <c r="N103" s="358" t="s">
        <v>1820</v>
      </c>
      <c r="O103" s="358" t="s">
        <v>1129</v>
      </c>
    </row>
    <row r="104">
      <c r="A104" s="358" t="s">
        <v>1821</v>
      </c>
      <c r="B104" s="358">
        <v>712.0</v>
      </c>
      <c r="C104" s="358" t="s">
        <v>1822</v>
      </c>
      <c r="D104" s="359">
        <v>29963.0</v>
      </c>
      <c r="E104" s="358">
        <v>5.49436789E8</v>
      </c>
      <c r="F104" s="358" t="s">
        <v>1823</v>
      </c>
      <c r="G104" s="360" t="s">
        <v>1058</v>
      </c>
      <c r="H104" s="358" t="s">
        <v>1691</v>
      </c>
      <c r="I104" s="362" t="s">
        <v>1824</v>
      </c>
      <c r="J104" s="358">
        <v>7.3844462E7</v>
      </c>
      <c r="K104" s="358" t="s">
        <v>1061</v>
      </c>
      <c r="L104" s="358" t="s">
        <v>1825</v>
      </c>
      <c r="M104" s="358" t="s">
        <v>1063</v>
      </c>
      <c r="N104" s="358" t="s">
        <v>1826</v>
      </c>
      <c r="O104" s="358" t="s">
        <v>1827</v>
      </c>
    </row>
    <row r="105">
      <c r="A105" s="358" t="s">
        <v>1828</v>
      </c>
      <c r="B105" s="358">
        <v>1598.0</v>
      </c>
      <c r="C105" s="358" t="s">
        <v>1829</v>
      </c>
      <c r="D105" s="359">
        <v>33074.0</v>
      </c>
      <c r="E105" s="358">
        <v>5.11424851E8</v>
      </c>
      <c r="F105" s="358" t="s">
        <v>1830</v>
      </c>
      <c r="G105" s="360" t="s">
        <v>1058</v>
      </c>
      <c r="H105" s="358" t="s">
        <v>1831</v>
      </c>
      <c r="I105" s="362" t="s">
        <v>1832</v>
      </c>
      <c r="J105" s="358">
        <v>9.3184387E7</v>
      </c>
      <c r="K105" s="358" t="s">
        <v>1061</v>
      </c>
      <c r="L105" s="358" t="s">
        <v>1833</v>
      </c>
      <c r="M105" s="358" t="s">
        <v>1063</v>
      </c>
      <c r="N105" s="358" t="s">
        <v>1834</v>
      </c>
      <c r="O105" s="358" t="s">
        <v>1835</v>
      </c>
    </row>
    <row r="106">
      <c r="A106" s="358" t="s">
        <v>1836</v>
      </c>
      <c r="B106" s="358">
        <v>1437.0</v>
      </c>
      <c r="C106" s="358" t="s">
        <v>1404</v>
      </c>
      <c r="D106" s="359">
        <v>37374.0</v>
      </c>
      <c r="E106" s="358">
        <v>4.99804211E8</v>
      </c>
      <c r="F106" s="358" t="s">
        <v>1837</v>
      </c>
      <c r="G106" s="360" t="s">
        <v>1058</v>
      </c>
      <c r="H106" s="358" t="s">
        <v>1838</v>
      </c>
      <c r="I106" s="362" t="s">
        <v>1839</v>
      </c>
      <c r="J106" s="358">
        <v>8.8351602E7</v>
      </c>
      <c r="K106" s="358" t="s">
        <v>1061</v>
      </c>
      <c r="L106" s="358" t="s">
        <v>1840</v>
      </c>
      <c r="M106" s="358" t="s">
        <v>1063</v>
      </c>
      <c r="N106" s="358" t="s">
        <v>1841</v>
      </c>
      <c r="O106" s="358" t="s">
        <v>1842</v>
      </c>
    </row>
    <row r="107">
      <c r="A107" s="358" t="s">
        <v>1843</v>
      </c>
      <c r="B107" s="358">
        <v>150.0</v>
      </c>
      <c r="C107" s="358" t="s">
        <v>1844</v>
      </c>
      <c r="D107" s="359">
        <v>29878.0</v>
      </c>
      <c r="E107" s="358">
        <v>4.39603444E8</v>
      </c>
      <c r="F107" s="358" t="s">
        <v>1845</v>
      </c>
      <c r="G107" s="360" t="s">
        <v>1058</v>
      </c>
      <c r="H107" s="358" t="s">
        <v>1846</v>
      </c>
      <c r="I107" s="362" t="s">
        <v>1847</v>
      </c>
      <c r="J107" s="358">
        <v>6.1308064E7</v>
      </c>
      <c r="K107" s="358" t="s">
        <v>1848</v>
      </c>
      <c r="L107" s="358" t="s">
        <v>1849</v>
      </c>
      <c r="M107" s="358" t="s">
        <v>1063</v>
      </c>
      <c r="N107" s="358" t="s">
        <v>1850</v>
      </c>
      <c r="O107" s="358" t="s">
        <v>1851</v>
      </c>
    </row>
    <row r="108">
      <c r="A108" s="358" t="s">
        <v>1852</v>
      </c>
      <c r="B108" s="358">
        <v>615.0</v>
      </c>
      <c r="C108" s="358" t="s">
        <v>1853</v>
      </c>
      <c r="D108" s="359">
        <v>29851.0</v>
      </c>
      <c r="E108" s="358">
        <v>4.08874016E8</v>
      </c>
      <c r="F108" s="358" t="s">
        <v>1854</v>
      </c>
      <c r="G108" s="360" t="s">
        <v>1058</v>
      </c>
      <c r="H108" s="358" t="s">
        <v>1855</v>
      </c>
      <c r="I108" s="362" t="s">
        <v>1856</v>
      </c>
      <c r="J108" s="358">
        <v>7.2261196E7</v>
      </c>
      <c r="K108" s="358" t="s">
        <v>1857</v>
      </c>
      <c r="L108" s="358" t="s">
        <v>1858</v>
      </c>
      <c r="M108" s="358" t="s">
        <v>1063</v>
      </c>
      <c r="N108" s="358" t="s">
        <v>1859</v>
      </c>
      <c r="O108" s="358" t="s">
        <v>1197</v>
      </c>
    </row>
    <row r="109">
      <c r="A109" s="358" t="s">
        <v>1860</v>
      </c>
      <c r="B109" s="358">
        <v>1107.0</v>
      </c>
      <c r="C109" s="358" t="s">
        <v>1853</v>
      </c>
      <c r="D109" s="359">
        <v>29482.0</v>
      </c>
      <c r="E109" s="358">
        <v>3.3278401E8</v>
      </c>
      <c r="F109" s="358" t="s">
        <v>1690</v>
      </c>
      <c r="G109" s="360" t="s">
        <v>1058</v>
      </c>
      <c r="H109" s="358" t="s">
        <v>1691</v>
      </c>
      <c r="I109" s="362" t="s">
        <v>1861</v>
      </c>
      <c r="J109" s="358">
        <v>8.2057095E7</v>
      </c>
      <c r="K109" s="358" t="s">
        <v>1862</v>
      </c>
      <c r="L109" s="358" t="s">
        <v>1863</v>
      </c>
      <c r="M109" s="358" t="s">
        <v>1063</v>
      </c>
      <c r="N109" s="358" t="s">
        <v>1864</v>
      </c>
      <c r="O109" s="358" t="s">
        <v>1080</v>
      </c>
    </row>
    <row r="110">
      <c r="A110" s="358" t="s">
        <v>1865</v>
      </c>
      <c r="B110" s="358">
        <v>1010.0</v>
      </c>
      <c r="C110" s="358" t="s">
        <v>1356</v>
      </c>
      <c r="D110" s="359">
        <v>28715.0</v>
      </c>
      <c r="E110" s="358">
        <v>5.87602004E8</v>
      </c>
      <c r="F110" s="358" t="s">
        <v>1866</v>
      </c>
      <c r="G110" s="358" t="s">
        <v>1867</v>
      </c>
      <c r="H110" s="358" t="s">
        <v>1760</v>
      </c>
      <c r="I110" s="362" t="s">
        <v>1868</v>
      </c>
      <c r="J110" s="358">
        <v>7.8609216E7</v>
      </c>
      <c r="K110" s="358" t="s">
        <v>1061</v>
      </c>
      <c r="L110" s="358" t="s">
        <v>1869</v>
      </c>
      <c r="M110" s="358" t="s">
        <v>1063</v>
      </c>
      <c r="N110" s="358" t="s">
        <v>1870</v>
      </c>
      <c r="O110" s="358" t="s">
        <v>1197</v>
      </c>
    </row>
    <row r="111">
      <c r="A111" s="358" t="s">
        <v>1871</v>
      </c>
      <c r="B111" s="358">
        <v>1461.0</v>
      </c>
      <c r="C111" s="358" t="s">
        <v>1781</v>
      </c>
      <c r="D111" s="359">
        <v>36170.0</v>
      </c>
      <c r="E111" s="358">
        <v>4.43657592E8</v>
      </c>
      <c r="F111" s="358" t="s">
        <v>1872</v>
      </c>
      <c r="G111" s="360" t="s">
        <v>1058</v>
      </c>
      <c r="H111" s="358" t="s">
        <v>1873</v>
      </c>
      <c r="I111" s="362" t="s">
        <v>1874</v>
      </c>
      <c r="J111" s="358">
        <v>8.8639673E7</v>
      </c>
      <c r="K111" s="358" t="s">
        <v>1061</v>
      </c>
      <c r="L111" s="358" t="s">
        <v>1875</v>
      </c>
      <c r="M111" s="358" t="s">
        <v>1063</v>
      </c>
      <c r="N111" s="358" t="s">
        <v>1876</v>
      </c>
      <c r="O111" s="358" t="s">
        <v>1877</v>
      </c>
    </row>
    <row r="112">
      <c r="A112" s="358" t="s">
        <v>1878</v>
      </c>
      <c r="B112" s="358">
        <v>1521.0</v>
      </c>
      <c r="C112" s="358" t="s">
        <v>1879</v>
      </c>
      <c r="D112" s="359">
        <v>34822.0</v>
      </c>
      <c r="E112" s="358">
        <v>3.91947679E8</v>
      </c>
      <c r="F112" s="358" t="s">
        <v>1192</v>
      </c>
      <c r="G112" s="360" t="s">
        <v>1058</v>
      </c>
      <c r="H112" s="358" t="s">
        <v>1193</v>
      </c>
      <c r="I112" s="362" t="s">
        <v>1880</v>
      </c>
      <c r="J112" s="358">
        <v>9.0761065E7</v>
      </c>
      <c r="K112" s="358" t="s">
        <v>1061</v>
      </c>
      <c r="L112" s="358" t="s">
        <v>1881</v>
      </c>
      <c r="M112" s="358" t="s">
        <v>1063</v>
      </c>
      <c r="N112" s="358" t="s">
        <v>1882</v>
      </c>
      <c r="O112" s="358" t="s">
        <v>1479</v>
      </c>
    </row>
    <row r="113">
      <c r="A113" s="358" t="s">
        <v>1883</v>
      </c>
      <c r="B113" s="358">
        <v>853.0</v>
      </c>
      <c r="C113" s="358" t="s">
        <v>1884</v>
      </c>
      <c r="D113" s="359">
        <v>26815.0</v>
      </c>
      <c r="E113" s="358">
        <v>2.64470849E8</v>
      </c>
      <c r="F113" s="358" t="s">
        <v>1885</v>
      </c>
      <c r="G113" s="360" t="s">
        <v>1058</v>
      </c>
      <c r="H113" s="358" t="s">
        <v>1886</v>
      </c>
      <c r="I113" s="362" t="s">
        <v>1887</v>
      </c>
      <c r="J113" s="358">
        <v>7.5740192E7</v>
      </c>
      <c r="K113" s="358" t="s">
        <v>1061</v>
      </c>
      <c r="L113" s="358" t="s">
        <v>1888</v>
      </c>
      <c r="M113" s="358" t="s">
        <v>1151</v>
      </c>
      <c r="N113" s="358" t="s">
        <v>1889</v>
      </c>
      <c r="O113" s="358" t="s">
        <v>1890</v>
      </c>
    </row>
    <row r="114">
      <c r="A114" s="358" t="s">
        <v>1891</v>
      </c>
      <c r="B114" s="358">
        <v>919.0</v>
      </c>
      <c r="C114" s="358" t="s">
        <v>1892</v>
      </c>
      <c r="D114" s="359">
        <v>29162.0</v>
      </c>
      <c r="E114" s="358">
        <v>5.01935599E8</v>
      </c>
      <c r="F114" s="358" t="s">
        <v>1893</v>
      </c>
      <c r="G114" s="360" t="s">
        <v>1058</v>
      </c>
      <c r="H114" s="358" t="s">
        <v>1894</v>
      </c>
      <c r="I114" s="362" t="s">
        <v>1895</v>
      </c>
      <c r="J114" s="358">
        <v>9.3049064E7</v>
      </c>
      <c r="K114" s="358" t="s">
        <v>1061</v>
      </c>
      <c r="L114" s="358" t="s">
        <v>1896</v>
      </c>
      <c r="M114" s="358" t="s">
        <v>1063</v>
      </c>
      <c r="N114" s="358" t="s">
        <v>1897</v>
      </c>
      <c r="O114" s="358" t="s">
        <v>1898</v>
      </c>
    </row>
    <row r="115">
      <c r="A115" s="358" t="s">
        <v>1899</v>
      </c>
      <c r="B115" s="358">
        <v>1706.0</v>
      </c>
      <c r="C115" s="358" t="s">
        <v>1900</v>
      </c>
      <c r="D115" s="359">
        <v>29045.0</v>
      </c>
      <c r="E115" s="358">
        <v>4.7412933E8</v>
      </c>
      <c r="F115" s="358" t="s">
        <v>1901</v>
      </c>
      <c r="G115" s="358" t="s">
        <v>1902</v>
      </c>
      <c r="H115" s="358" t="s">
        <v>1903</v>
      </c>
      <c r="I115" s="362" t="s">
        <v>1904</v>
      </c>
      <c r="J115" s="358">
        <v>9.7017159E7</v>
      </c>
      <c r="K115" s="358" t="s">
        <v>1905</v>
      </c>
      <c r="L115" s="358" t="s">
        <v>1906</v>
      </c>
      <c r="M115" s="358" t="s">
        <v>1063</v>
      </c>
      <c r="N115" s="358" t="s">
        <v>1907</v>
      </c>
      <c r="O115" s="358" t="s">
        <v>1908</v>
      </c>
    </row>
    <row r="116">
      <c r="A116" s="358" t="s">
        <v>1909</v>
      </c>
      <c r="B116" s="358">
        <v>423.0</v>
      </c>
      <c r="C116" s="358" t="s">
        <v>1910</v>
      </c>
      <c r="D116" s="359">
        <v>24841.0</v>
      </c>
      <c r="E116" s="358">
        <v>2.94430246E8</v>
      </c>
      <c r="F116" s="358" t="s">
        <v>1911</v>
      </c>
      <c r="G116" s="360" t="s">
        <v>1058</v>
      </c>
      <c r="H116" s="358" t="s">
        <v>1912</v>
      </c>
      <c r="I116" s="362" t="s">
        <v>1913</v>
      </c>
      <c r="J116" s="358">
        <v>6.8826664E7</v>
      </c>
      <c r="K116" s="358" t="s">
        <v>1061</v>
      </c>
      <c r="L116" s="358" t="s">
        <v>1914</v>
      </c>
      <c r="M116" s="358" t="s">
        <v>1063</v>
      </c>
      <c r="N116" s="358" t="s">
        <v>1915</v>
      </c>
      <c r="O116" s="358" t="s">
        <v>1916</v>
      </c>
    </row>
    <row r="117">
      <c r="A117" s="358" t="s">
        <v>1917</v>
      </c>
      <c r="B117" s="358">
        <v>1194.0</v>
      </c>
      <c r="C117" s="358" t="s">
        <v>1918</v>
      </c>
      <c r="D117" s="359">
        <v>30487.0</v>
      </c>
      <c r="E117" s="358">
        <v>5.50306547E8</v>
      </c>
      <c r="F117" s="358" t="s">
        <v>1919</v>
      </c>
      <c r="G117" s="360" t="s">
        <v>1058</v>
      </c>
      <c r="H117" s="358" t="s">
        <v>1920</v>
      </c>
      <c r="I117" s="362" t="s">
        <v>1921</v>
      </c>
      <c r="J117" s="358">
        <v>8.2981663E7</v>
      </c>
      <c r="K117" s="358" t="s">
        <v>1061</v>
      </c>
      <c r="L117" s="358" t="s">
        <v>1922</v>
      </c>
      <c r="M117" s="358" t="s">
        <v>1063</v>
      </c>
      <c r="N117" s="358" t="s">
        <v>1923</v>
      </c>
      <c r="O117" s="358" t="s">
        <v>1924</v>
      </c>
    </row>
    <row r="118">
      <c r="A118" s="358" t="s">
        <v>31</v>
      </c>
      <c r="B118" s="358">
        <v>1244.0</v>
      </c>
      <c r="C118" s="358" t="s">
        <v>1925</v>
      </c>
      <c r="D118" s="359">
        <v>29191.0</v>
      </c>
      <c r="E118" s="358">
        <v>3.96703744E8</v>
      </c>
      <c r="F118" s="358" t="s">
        <v>1926</v>
      </c>
      <c r="G118" s="358" t="s">
        <v>1927</v>
      </c>
      <c r="H118" s="358" t="s">
        <v>1928</v>
      </c>
      <c r="I118" s="361" t="s">
        <v>1929</v>
      </c>
      <c r="J118" s="358">
        <v>8.4349735E7</v>
      </c>
      <c r="K118" s="358" t="s">
        <v>1061</v>
      </c>
      <c r="L118" s="358" t="s">
        <v>1930</v>
      </c>
      <c r="M118" s="358" t="s">
        <v>1063</v>
      </c>
      <c r="N118" s="358" t="s">
        <v>1931</v>
      </c>
      <c r="O118" s="358" t="s">
        <v>1932</v>
      </c>
    </row>
    <row r="119">
      <c r="A119" s="358" t="s">
        <v>1933</v>
      </c>
      <c r="B119" s="358">
        <v>973.0</v>
      </c>
      <c r="C119" s="358" t="s">
        <v>1934</v>
      </c>
      <c r="D119" s="359">
        <v>25519.0</v>
      </c>
      <c r="E119" s="358">
        <v>4.43665783E8</v>
      </c>
      <c r="F119" s="358" t="s">
        <v>1935</v>
      </c>
      <c r="G119" s="360" t="s">
        <v>1058</v>
      </c>
      <c r="H119" s="358" t="s">
        <v>1936</v>
      </c>
      <c r="I119" s="362" t="s">
        <v>1937</v>
      </c>
      <c r="J119" s="358">
        <v>7.7113608E7</v>
      </c>
      <c r="K119" s="358" t="s">
        <v>1061</v>
      </c>
      <c r="L119" s="358" t="s">
        <v>1938</v>
      </c>
      <c r="M119" s="358" t="s">
        <v>1063</v>
      </c>
      <c r="N119" s="358" t="s">
        <v>1939</v>
      </c>
      <c r="O119" s="358" t="s">
        <v>1940</v>
      </c>
    </row>
    <row r="120">
      <c r="A120" s="358" t="s">
        <v>1941</v>
      </c>
      <c r="B120" s="358">
        <v>552.0</v>
      </c>
      <c r="C120" s="358" t="s">
        <v>1925</v>
      </c>
      <c r="D120" s="359">
        <v>29191.0</v>
      </c>
      <c r="E120" s="358">
        <v>3.96703744E8</v>
      </c>
      <c r="F120" s="358" t="s">
        <v>1942</v>
      </c>
      <c r="G120" s="358" t="s">
        <v>1927</v>
      </c>
      <c r="H120" s="358" t="s">
        <v>1943</v>
      </c>
      <c r="I120" s="362" t="s">
        <v>1944</v>
      </c>
      <c r="J120" s="358">
        <v>7.1249591E7</v>
      </c>
      <c r="K120" s="358" t="s">
        <v>1945</v>
      </c>
      <c r="L120" s="358" t="s">
        <v>1946</v>
      </c>
      <c r="M120" s="358" t="s">
        <v>1063</v>
      </c>
      <c r="N120" s="358" t="s">
        <v>1947</v>
      </c>
      <c r="O120" s="358" t="s">
        <v>1932</v>
      </c>
    </row>
    <row r="121">
      <c r="A121" s="358" t="s">
        <v>1948</v>
      </c>
      <c r="B121" s="358">
        <v>552.0</v>
      </c>
      <c r="C121" s="358" t="s">
        <v>1925</v>
      </c>
      <c r="D121" s="359">
        <v>29191.0</v>
      </c>
      <c r="E121" s="358">
        <v>3.96703744E8</v>
      </c>
      <c r="G121" s="360" t="s">
        <v>1058</v>
      </c>
      <c r="I121" s="362" t="s">
        <v>1944</v>
      </c>
      <c r="J121" s="362"/>
      <c r="K121" s="358" t="s">
        <v>1061</v>
      </c>
      <c r="L121" s="154"/>
      <c r="M121" s="358" t="s">
        <v>1063</v>
      </c>
      <c r="N121" s="358" t="s">
        <v>1949</v>
      </c>
      <c r="O121" s="358" t="s">
        <v>1932</v>
      </c>
    </row>
    <row r="122">
      <c r="A122" s="358" t="s">
        <v>1950</v>
      </c>
      <c r="B122" s="358">
        <v>553.0</v>
      </c>
      <c r="C122" s="358" t="s">
        <v>1925</v>
      </c>
      <c r="D122" s="359">
        <v>29191.0</v>
      </c>
      <c r="E122" s="358">
        <v>3.96703744E8</v>
      </c>
      <c r="F122" s="358" t="s">
        <v>1951</v>
      </c>
      <c r="G122" s="358" t="s">
        <v>1927</v>
      </c>
      <c r="H122" s="358" t="s">
        <v>1928</v>
      </c>
      <c r="I122" s="362" t="s">
        <v>1944</v>
      </c>
      <c r="J122" s="358">
        <v>7.1254552E7</v>
      </c>
      <c r="K122" s="358" t="s">
        <v>1061</v>
      </c>
      <c r="L122" s="358" t="s">
        <v>1952</v>
      </c>
      <c r="M122" s="358" t="s">
        <v>1063</v>
      </c>
      <c r="N122" s="358" t="s">
        <v>1953</v>
      </c>
      <c r="O122" s="358" t="s">
        <v>1932</v>
      </c>
    </row>
    <row r="123">
      <c r="A123" s="358" t="s">
        <v>1954</v>
      </c>
      <c r="B123" s="358">
        <v>1303.0</v>
      </c>
      <c r="C123" s="358" t="s">
        <v>1884</v>
      </c>
      <c r="D123" s="359">
        <v>37421.0</v>
      </c>
      <c r="E123" s="358">
        <v>5.14911347E8</v>
      </c>
      <c r="F123" s="358" t="s">
        <v>1955</v>
      </c>
      <c r="G123" s="360" t="s">
        <v>1058</v>
      </c>
      <c r="H123" s="358" t="s">
        <v>1956</v>
      </c>
      <c r="I123" s="362" t="s">
        <v>1957</v>
      </c>
      <c r="J123" s="358">
        <v>8.5439878E7</v>
      </c>
      <c r="K123" s="358" t="s">
        <v>1061</v>
      </c>
      <c r="L123" s="358" t="s">
        <v>1958</v>
      </c>
      <c r="M123" s="358" t="s">
        <v>1063</v>
      </c>
      <c r="N123" s="358" t="s">
        <v>1959</v>
      </c>
      <c r="O123" s="358" t="s">
        <v>1960</v>
      </c>
    </row>
    <row r="124">
      <c r="A124" s="358" t="s">
        <v>1961</v>
      </c>
      <c r="B124" s="358">
        <v>520.0</v>
      </c>
      <c r="C124" s="358" t="s">
        <v>1962</v>
      </c>
      <c r="D124" s="359">
        <v>32945.0</v>
      </c>
      <c r="E124" s="358">
        <v>4.86963949E8</v>
      </c>
      <c r="F124" s="358" t="s">
        <v>1963</v>
      </c>
      <c r="G124" s="360" t="s">
        <v>1058</v>
      </c>
      <c r="H124" s="358" t="s">
        <v>1964</v>
      </c>
      <c r="I124" s="362" t="s">
        <v>1965</v>
      </c>
      <c r="J124" s="358">
        <v>7.0800235E7</v>
      </c>
      <c r="K124" s="358" t="s">
        <v>1061</v>
      </c>
      <c r="L124" s="358" t="s">
        <v>1966</v>
      </c>
      <c r="M124" s="358" t="s">
        <v>1063</v>
      </c>
      <c r="N124" s="358" t="s">
        <v>1967</v>
      </c>
      <c r="O124" s="358" t="s">
        <v>1968</v>
      </c>
    </row>
    <row r="125">
      <c r="A125" s="358" t="s">
        <v>1969</v>
      </c>
      <c r="B125" s="358">
        <v>1582.0</v>
      </c>
      <c r="C125" s="358" t="s">
        <v>1970</v>
      </c>
      <c r="D125" s="359">
        <v>36747.0</v>
      </c>
      <c r="E125" s="358">
        <v>6.77690083E8</v>
      </c>
      <c r="F125" s="358" t="s">
        <v>1971</v>
      </c>
      <c r="G125" s="360" t="s">
        <v>1058</v>
      </c>
      <c r="H125" s="358" t="s">
        <v>1972</v>
      </c>
      <c r="I125" s="362" t="s">
        <v>1973</v>
      </c>
      <c r="J125" s="358">
        <v>9.2811868E7</v>
      </c>
      <c r="K125" s="358" t="s">
        <v>1061</v>
      </c>
      <c r="L125" s="358" t="s">
        <v>1974</v>
      </c>
      <c r="M125" s="358" t="s">
        <v>1063</v>
      </c>
      <c r="N125" s="358" t="s">
        <v>1975</v>
      </c>
      <c r="O125" s="358" t="s">
        <v>1976</v>
      </c>
    </row>
    <row r="126">
      <c r="A126" s="358" t="s">
        <v>1977</v>
      </c>
      <c r="B126" s="358">
        <v>1654.0</v>
      </c>
      <c r="C126" s="358" t="s">
        <v>1978</v>
      </c>
      <c r="D126" s="359">
        <v>31875.0</v>
      </c>
      <c r="E126" s="358">
        <v>5.40159797E8</v>
      </c>
      <c r="F126" s="358" t="s">
        <v>1979</v>
      </c>
      <c r="G126" s="360" t="s">
        <v>1058</v>
      </c>
      <c r="H126" s="358" t="s">
        <v>1980</v>
      </c>
      <c r="I126" s="362" t="s">
        <v>1981</v>
      </c>
      <c r="J126" s="358">
        <v>9.4493685E7</v>
      </c>
      <c r="K126" s="358" t="s">
        <v>1061</v>
      </c>
      <c r="L126" s="358" t="s">
        <v>1982</v>
      </c>
      <c r="M126" s="358" t="s">
        <v>1063</v>
      </c>
      <c r="N126" s="358" t="s">
        <v>1983</v>
      </c>
      <c r="O126" s="358" t="s">
        <v>1984</v>
      </c>
    </row>
    <row r="127">
      <c r="A127" s="358" t="s">
        <v>1985</v>
      </c>
      <c r="B127" s="358">
        <v>926.0</v>
      </c>
      <c r="C127" s="358" t="s">
        <v>1795</v>
      </c>
      <c r="D127" s="359">
        <v>32182.0</v>
      </c>
      <c r="E127" s="358">
        <v>5.67161729E8</v>
      </c>
      <c r="F127" s="358" t="s">
        <v>1986</v>
      </c>
      <c r="G127" s="360" t="s">
        <v>1058</v>
      </c>
      <c r="H127" s="358" t="s">
        <v>1987</v>
      </c>
      <c r="I127" s="362" t="s">
        <v>1988</v>
      </c>
      <c r="J127" s="358">
        <v>7.698616E7</v>
      </c>
      <c r="K127" s="358" t="s">
        <v>1061</v>
      </c>
      <c r="L127" s="358" t="s">
        <v>1989</v>
      </c>
      <c r="M127" s="358" t="s">
        <v>1151</v>
      </c>
      <c r="N127" s="358" t="s">
        <v>1990</v>
      </c>
      <c r="O127" s="358" t="s">
        <v>1991</v>
      </c>
    </row>
    <row r="128">
      <c r="A128" s="358" t="s">
        <v>1992</v>
      </c>
      <c r="B128" s="358">
        <v>1304.0</v>
      </c>
      <c r="C128" s="358" t="s">
        <v>1146</v>
      </c>
      <c r="D128" s="359">
        <v>32908.0</v>
      </c>
      <c r="E128" s="358">
        <v>5.71208162E8</v>
      </c>
      <c r="F128" s="358" t="s">
        <v>1993</v>
      </c>
      <c r="G128" s="360" t="s">
        <v>1058</v>
      </c>
      <c r="H128" s="358" t="s">
        <v>1994</v>
      </c>
      <c r="I128" s="362" t="s">
        <v>1995</v>
      </c>
      <c r="J128" s="358">
        <v>8.57345E7</v>
      </c>
      <c r="K128" s="358" t="s">
        <v>1061</v>
      </c>
      <c r="L128" s="358" t="s">
        <v>1996</v>
      </c>
      <c r="M128" s="358" t="s">
        <v>1063</v>
      </c>
      <c r="N128" s="358" t="s">
        <v>1997</v>
      </c>
      <c r="O128" s="358" t="s">
        <v>1992</v>
      </c>
    </row>
    <row r="129">
      <c r="A129" s="358" t="s">
        <v>1998</v>
      </c>
      <c r="B129" s="358">
        <v>455.0</v>
      </c>
      <c r="C129" s="358" t="s">
        <v>1773</v>
      </c>
      <c r="D129" s="359">
        <v>26442.0</v>
      </c>
      <c r="E129" s="358">
        <v>2.91068042E8</v>
      </c>
      <c r="F129" s="358" t="s">
        <v>1999</v>
      </c>
      <c r="G129" s="360" t="s">
        <v>1058</v>
      </c>
      <c r="H129" s="358" t="s">
        <v>2000</v>
      </c>
      <c r="I129" s="362" t="s">
        <v>2001</v>
      </c>
      <c r="J129" s="358">
        <v>6.7280463E7</v>
      </c>
      <c r="K129" s="358" t="s">
        <v>1061</v>
      </c>
      <c r="L129" s="358" t="s">
        <v>2002</v>
      </c>
      <c r="M129" s="358" t="s">
        <v>1063</v>
      </c>
      <c r="N129" s="358" t="s">
        <v>2003</v>
      </c>
      <c r="O129" s="358" t="s">
        <v>2004</v>
      </c>
    </row>
    <row r="130">
      <c r="A130" s="358" t="s">
        <v>2005</v>
      </c>
      <c r="B130" s="358">
        <v>987.0</v>
      </c>
      <c r="C130" s="358" t="s">
        <v>2006</v>
      </c>
      <c r="D130" s="359">
        <v>28057.0</v>
      </c>
      <c r="E130" s="358">
        <v>2.95968527E8</v>
      </c>
      <c r="F130" s="358" t="s">
        <v>2007</v>
      </c>
      <c r="G130" s="360" t="s">
        <v>1058</v>
      </c>
      <c r="H130" s="358" t="s">
        <v>2008</v>
      </c>
      <c r="I130" s="362" t="s">
        <v>2009</v>
      </c>
      <c r="J130" s="358">
        <v>7.1214852E7</v>
      </c>
      <c r="K130" s="358" t="s">
        <v>1061</v>
      </c>
      <c r="L130" s="358" t="s">
        <v>2010</v>
      </c>
      <c r="M130" s="358" t="s">
        <v>1063</v>
      </c>
      <c r="N130" s="358" t="s">
        <v>2011</v>
      </c>
      <c r="O130" s="358" t="s">
        <v>2012</v>
      </c>
    </row>
    <row r="131">
      <c r="A131" s="358" t="s">
        <v>2013</v>
      </c>
      <c r="B131" s="358">
        <v>1236.0</v>
      </c>
      <c r="C131" s="358" t="s">
        <v>2014</v>
      </c>
      <c r="D131" s="359">
        <v>28869.0</v>
      </c>
      <c r="E131" s="358">
        <v>3.76512076E8</v>
      </c>
      <c r="F131" s="358" t="s">
        <v>2015</v>
      </c>
      <c r="G131" s="360" t="s">
        <v>1058</v>
      </c>
      <c r="H131" s="358" t="s">
        <v>2016</v>
      </c>
      <c r="I131" s="362" t="s">
        <v>2017</v>
      </c>
      <c r="J131" s="358">
        <v>6.7612563E7</v>
      </c>
      <c r="K131" s="358" t="s">
        <v>1061</v>
      </c>
      <c r="L131" s="358" t="s">
        <v>2018</v>
      </c>
      <c r="M131" s="358" t="s">
        <v>1063</v>
      </c>
      <c r="N131" s="358" t="s">
        <v>2019</v>
      </c>
      <c r="O131" s="358" t="s">
        <v>2020</v>
      </c>
    </row>
    <row r="132">
      <c r="A132" s="358" t="s">
        <v>2021</v>
      </c>
      <c r="B132" s="358">
        <v>1283.0</v>
      </c>
      <c r="C132" s="358" t="s">
        <v>2022</v>
      </c>
      <c r="D132" s="359">
        <v>29441.0</v>
      </c>
      <c r="E132" s="358">
        <v>6.42131375E8</v>
      </c>
      <c r="F132" s="358" t="s">
        <v>2023</v>
      </c>
      <c r="G132" s="360" t="s">
        <v>1058</v>
      </c>
      <c r="H132" s="358" t="s">
        <v>2024</v>
      </c>
      <c r="I132" s="362" t="s">
        <v>2025</v>
      </c>
      <c r="J132" s="358">
        <v>8.3908803E7</v>
      </c>
      <c r="K132" s="358" t="s">
        <v>1061</v>
      </c>
      <c r="L132" s="358" t="s">
        <v>2026</v>
      </c>
      <c r="M132" s="358" t="s">
        <v>1151</v>
      </c>
      <c r="N132" s="358" t="s">
        <v>2027</v>
      </c>
      <c r="O132" s="358" t="s">
        <v>2028</v>
      </c>
    </row>
    <row r="133">
      <c r="A133" s="358" t="s">
        <v>2029</v>
      </c>
      <c r="B133" s="358">
        <v>101.0</v>
      </c>
      <c r="C133" s="358" t="s">
        <v>1222</v>
      </c>
      <c r="D133" s="359">
        <v>27836.0</v>
      </c>
      <c r="E133" s="358">
        <v>3.86263565E8</v>
      </c>
      <c r="F133" s="358" t="s">
        <v>2030</v>
      </c>
      <c r="G133" s="360" t="s">
        <v>1058</v>
      </c>
      <c r="H133" s="358" t="s">
        <v>1691</v>
      </c>
      <c r="I133" s="362" t="s">
        <v>2031</v>
      </c>
      <c r="J133" s="358">
        <v>5.979746E7</v>
      </c>
      <c r="K133" s="358" t="s">
        <v>1061</v>
      </c>
      <c r="L133" s="358" t="s">
        <v>2032</v>
      </c>
      <c r="M133" s="358" t="s">
        <v>1063</v>
      </c>
      <c r="N133" s="358" t="s">
        <v>2033</v>
      </c>
      <c r="O133" s="358" t="s">
        <v>2034</v>
      </c>
    </row>
    <row r="134">
      <c r="A134" s="358" t="s">
        <v>2035</v>
      </c>
      <c r="B134" s="358">
        <v>414.0</v>
      </c>
      <c r="C134" s="358" t="s">
        <v>1804</v>
      </c>
      <c r="D134" s="359">
        <v>29849.0</v>
      </c>
      <c r="E134" s="358">
        <v>4.25469815E8</v>
      </c>
      <c r="F134" s="358" t="s">
        <v>2036</v>
      </c>
      <c r="G134" s="360" t="s">
        <v>1058</v>
      </c>
      <c r="H134" s="358" t="s">
        <v>2037</v>
      </c>
      <c r="I134" s="362" t="s">
        <v>2038</v>
      </c>
      <c r="J134" s="358">
        <v>6.8799217E7</v>
      </c>
      <c r="K134" s="358" t="s">
        <v>1061</v>
      </c>
      <c r="L134" s="358" t="s">
        <v>2039</v>
      </c>
      <c r="M134" s="358" t="s">
        <v>1063</v>
      </c>
      <c r="N134" s="358" t="s">
        <v>2040</v>
      </c>
      <c r="O134" s="358" t="s">
        <v>1810</v>
      </c>
    </row>
    <row r="135">
      <c r="A135" s="358" t="s">
        <v>2041</v>
      </c>
      <c r="B135" s="358">
        <v>766.0</v>
      </c>
      <c r="C135" s="358" t="s">
        <v>2022</v>
      </c>
      <c r="D135" s="359">
        <v>28367.0</v>
      </c>
      <c r="E135" s="358">
        <v>4.17847683E8</v>
      </c>
      <c r="F135" s="358" t="s">
        <v>2042</v>
      </c>
      <c r="G135" s="360" t="s">
        <v>1058</v>
      </c>
      <c r="H135" s="358" t="s">
        <v>2043</v>
      </c>
      <c r="I135" s="362" t="s">
        <v>2044</v>
      </c>
      <c r="J135" s="358">
        <v>7.3131733E7</v>
      </c>
      <c r="K135" s="358" t="s">
        <v>1061</v>
      </c>
      <c r="L135" s="358" t="s">
        <v>2045</v>
      </c>
      <c r="M135" s="358" t="s">
        <v>1063</v>
      </c>
      <c r="N135" s="358" t="s">
        <v>2046</v>
      </c>
      <c r="O135" s="358" t="s">
        <v>2047</v>
      </c>
    </row>
    <row r="136">
      <c r="A136" s="358" t="s">
        <v>2048</v>
      </c>
      <c r="B136" s="358">
        <v>1091.0</v>
      </c>
      <c r="C136" s="358" t="s">
        <v>1489</v>
      </c>
      <c r="D136" s="359">
        <v>28568.0</v>
      </c>
      <c r="E136" s="358">
        <v>3.55522366E8</v>
      </c>
      <c r="F136" s="358" t="s">
        <v>1872</v>
      </c>
      <c r="G136" s="360" t="s">
        <v>1058</v>
      </c>
      <c r="H136" s="358" t="s">
        <v>1873</v>
      </c>
      <c r="I136" s="362" t="s">
        <v>2049</v>
      </c>
      <c r="J136" s="358">
        <v>8.1532539E7</v>
      </c>
      <c r="K136" s="358" t="s">
        <v>1061</v>
      </c>
      <c r="L136" s="358" t="s">
        <v>2050</v>
      </c>
      <c r="M136" s="358" t="s">
        <v>1063</v>
      </c>
      <c r="N136" s="358" t="s">
        <v>2051</v>
      </c>
      <c r="O136" s="358" t="s">
        <v>2052</v>
      </c>
    </row>
    <row r="137">
      <c r="A137" s="358" t="s">
        <v>2053</v>
      </c>
      <c r="B137" s="358">
        <v>558.0</v>
      </c>
      <c r="C137" s="358" t="s">
        <v>151</v>
      </c>
      <c r="D137" s="359">
        <v>24661.0</v>
      </c>
      <c r="E137" s="358">
        <v>2.51600877E8</v>
      </c>
      <c r="F137" s="358" t="s">
        <v>2054</v>
      </c>
      <c r="G137" s="360" t="s">
        <v>1058</v>
      </c>
      <c r="H137" s="358" t="s">
        <v>2055</v>
      </c>
      <c r="I137" s="362" t="s">
        <v>2056</v>
      </c>
      <c r="J137" s="358">
        <v>7.1117148E7</v>
      </c>
      <c r="K137" s="358" t="s">
        <v>1061</v>
      </c>
      <c r="L137" s="358" t="s">
        <v>2057</v>
      </c>
      <c r="M137" s="358" t="s">
        <v>1063</v>
      </c>
      <c r="N137" s="358" t="s">
        <v>2058</v>
      </c>
      <c r="O137" s="358" t="s">
        <v>2059</v>
      </c>
    </row>
    <row r="138">
      <c r="A138" s="358" t="s">
        <v>2060</v>
      </c>
      <c r="B138" s="358">
        <v>1602.0</v>
      </c>
      <c r="C138" s="358" t="s">
        <v>2061</v>
      </c>
      <c r="D138" s="359">
        <v>32898.0</v>
      </c>
      <c r="E138" s="358">
        <v>6.75219383E8</v>
      </c>
      <c r="F138" s="358" t="s">
        <v>2062</v>
      </c>
      <c r="G138" s="360" t="s">
        <v>1058</v>
      </c>
      <c r="H138" s="358" t="s">
        <v>2063</v>
      </c>
      <c r="I138" s="362" t="s">
        <v>2064</v>
      </c>
      <c r="J138" s="358">
        <v>9.3562373E7</v>
      </c>
      <c r="K138" s="358" t="s">
        <v>1061</v>
      </c>
      <c r="L138" s="358" t="s">
        <v>2065</v>
      </c>
      <c r="M138" s="358" t="s">
        <v>1063</v>
      </c>
      <c r="N138" s="358" t="s">
        <v>2066</v>
      </c>
      <c r="O138" s="358" t="s">
        <v>2067</v>
      </c>
    </row>
    <row r="139">
      <c r="A139" s="358" t="s">
        <v>2068</v>
      </c>
      <c r="B139" s="358">
        <v>953.0</v>
      </c>
      <c r="C139" s="358" t="s">
        <v>1246</v>
      </c>
      <c r="D139" s="359">
        <v>25543.0</v>
      </c>
      <c r="E139" s="358">
        <v>2.642316E8</v>
      </c>
      <c r="F139" s="358" t="s">
        <v>2069</v>
      </c>
      <c r="G139" s="360" t="s">
        <v>1058</v>
      </c>
      <c r="H139" s="358" t="s">
        <v>2070</v>
      </c>
      <c r="I139" s="362" t="s">
        <v>2071</v>
      </c>
      <c r="J139" s="358">
        <v>7.7679768E7</v>
      </c>
      <c r="K139" s="358" t="s">
        <v>1061</v>
      </c>
      <c r="L139" s="358" t="s">
        <v>2072</v>
      </c>
      <c r="M139" s="358" t="s">
        <v>1063</v>
      </c>
      <c r="N139" s="358" t="s">
        <v>2073</v>
      </c>
      <c r="O139" s="358" t="s">
        <v>2074</v>
      </c>
    </row>
    <row r="140">
      <c r="A140" s="358" t="s">
        <v>2075</v>
      </c>
      <c r="B140" s="358">
        <v>1699.0</v>
      </c>
      <c r="C140" s="358" t="s">
        <v>2022</v>
      </c>
      <c r="D140" s="359">
        <v>35849.0</v>
      </c>
      <c r="E140" s="358">
        <v>4.15072657E8</v>
      </c>
      <c r="F140" s="358" t="s">
        <v>2076</v>
      </c>
      <c r="G140" s="358" t="s">
        <v>1574</v>
      </c>
      <c r="H140" s="358" t="s">
        <v>2077</v>
      </c>
      <c r="I140" s="362" t="s">
        <v>2078</v>
      </c>
      <c r="J140" s="358">
        <v>8.8481735E7</v>
      </c>
      <c r="K140" s="358" t="s">
        <v>2079</v>
      </c>
      <c r="L140" s="358" t="s">
        <v>2080</v>
      </c>
      <c r="M140" s="358" t="s">
        <v>1063</v>
      </c>
      <c r="N140" s="358" t="s">
        <v>2081</v>
      </c>
      <c r="O140" s="358" t="s">
        <v>2082</v>
      </c>
    </row>
    <row r="141">
      <c r="A141" s="358" t="s">
        <v>2083</v>
      </c>
      <c r="B141" s="358">
        <v>783.0</v>
      </c>
      <c r="C141" s="358" t="s">
        <v>1962</v>
      </c>
      <c r="D141" s="359">
        <v>32945.0</v>
      </c>
      <c r="E141" s="358">
        <v>4.86963949E8</v>
      </c>
      <c r="F141" s="358" t="s">
        <v>1963</v>
      </c>
      <c r="G141" s="360" t="s">
        <v>1058</v>
      </c>
      <c r="H141" s="358" t="s">
        <v>1964</v>
      </c>
      <c r="I141" s="362" t="s">
        <v>1965</v>
      </c>
      <c r="J141" s="358">
        <v>7.479462E7</v>
      </c>
      <c r="K141" s="358" t="s">
        <v>1061</v>
      </c>
      <c r="L141" s="358" t="s">
        <v>2084</v>
      </c>
      <c r="M141" s="358" t="s">
        <v>1063</v>
      </c>
      <c r="N141" s="358" t="s">
        <v>2085</v>
      </c>
      <c r="O141" s="358" t="s">
        <v>1968</v>
      </c>
    </row>
    <row r="142">
      <c r="A142" s="358" t="s">
        <v>2086</v>
      </c>
      <c r="B142" s="358">
        <v>782.0</v>
      </c>
      <c r="C142" s="358" t="s">
        <v>1962</v>
      </c>
      <c r="D142" s="359">
        <v>32945.0</v>
      </c>
      <c r="E142" s="358">
        <v>4.86963949E8</v>
      </c>
      <c r="F142" s="358" t="s">
        <v>1963</v>
      </c>
      <c r="G142" s="360" t="s">
        <v>1058</v>
      </c>
      <c r="H142" s="358" t="s">
        <v>1964</v>
      </c>
      <c r="I142" s="363"/>
      <c r="J142" s="358">
        <v>7.4792407E7</v>
      </c>
      <c r="K142" s="358" t="s">
        <v>1061</v>
      </c>
      <c r="L142" s="358" t="s">
        <v>2087</v>
      </c>
      <c r="M142" s="358" t="s">
        <v>1063</v>
      </c>
      <c r="N142" s="358" t="s">
        <v>2088</v>
      </c>
      <c r="O142" s="358" t="s">
        <v>1968</v>
      </c>
    </row>
    <row r="143">
      <c r="A143" s="358" t="s">
        <v>2089</v>
      </c>
      <c r="B143" s="358">
        <v>1550.0</v>
      </c>
      <c r="C143" s="358" t="s">
        <v>2090</v>
      </c>
      <c r="D143" s="359">
        <v>32182.0</v>
      </c>
      <c r="E143" s="358">
        <v>3.50715853E8</v>
      </c>
      <c r="F143" s="358" t="s">
        <v>2091</v>
      </c>
      <c r="G143" s="360" t="s">
        <v>1058</v>
      </c>
      <c r="H143" s="358" t="s">
        <v>2092</v>
      </c>
      <c r="I143" s="362" t="s">
        <v>2093</v>
      </c>
      <c r="J143" s="358">
        <v>9.1483565E7</v>
      </c>
      <c r="K143" s="358" t="s">
        <v>1061</v>
      </c>
      <c r="L143" s="358" t="s">
        <v>2094</v>
      </c>
      <c r="M143" s="358" t="s">
        <v>1063</v>
      </c>
      <c r="N143" s="358" t="s">
        <v>2095</v>
      </c>
      <c r="O143" s="358" t="s">
        <v>2096</v>
      </c>
    </row>
    <row r="144">
      <c r="A144" s="358" t="s">
        <v>2097</v>
      </c>
      <c r="B144" s="358">
        <v>342.0</v>
      </c>
      <c r="C144" s="358" t="s">
        <v>1176</v>
      </c>
      <c r="D144" s="359">
        <v>28046.0</v>
      </c>
      <c r="E144" s="358">
        <v>6.61849181E8</v>
      </c>
      <c r="F144" s="358" t="s">
        <v>2098</v>
      </c>
      <c r="G144" s="360" t="s">
        <v>1058</v>
      </c>
      <c r="H144" s="358" t="s">
        <v>2099</v>
      </c>
      <c r="I144" s="362" t="s">
        <v>2100</v>
      </c>
      <c r="J144" s="358">
        <v>6.6186846E7</v>
      </c>
      <c r="K144" s="358" t="s">
        <v>1061</v>
      </c>
      <c r="L144" s="358" t="s">
        <v>2101</v>
      </c>
      <c r="M144" s="358" t="s">
        <v>1063</v>
      </c>
      <c r="N144" s="358" t="s">
        <v>2102</v>
      </c>
      <c r="O144" s="358" t="s">
        <v>2096</v>
      </c>
    </row>
    <row r="145">
      <c r="A145" s="358" t="s">
        <v>2103</v>
      </c>
      <c r="B145" s="358">
        <v>450.0</v>
      </c>
      <c r="C145" s="358" t="s">
        <v>1900</v>
      </c>
      <c r="D145" s="359">
        <v>23711.0</v>
      </c>
      <c r="E145" s="358">
        <v>3.50934952E8</v>
      </c>
      <c r="F145" s="358" t="s">
        <v>2104</v>
      </c>
      <c r="G145" s="360" t="s">
        <v>1058</v>
      </c>
      <c r="H145" s="358" t="s">
        <v>2105</v>
      </c>
      <c r="I145" s="362" t="s">
        <v>2106</v>
      </c>
      <c r="J145" s="358">
        <v>6.9735336E7</v>
      </c>
      <c r="K145" s="358" t="s">
        <v>2107</v>
      </c>
      <c r="L145" s="358" t="s">
        <v>2108</v>
      </c>
      <c r="M145" s="358" t="s">
        <v>1063</v>
      </c>
      <c r="N145" s="358" t="s">
        <v>2109</v>
      </c>
      <c r="O145" s="358" t="s">
        <v>2110</v>
      </c>
    </row>
    <row r="146">
      <c r="A146" s="358" t="s">
        <v>2111</v>
      </c>
      <c r="B146" s="358">
        <v>1254.0</v>
      </c>
      <c r="C146" s="358" t="s">
        <v>2112</v>
      </c>
      <c r="D146" s="359">
        <v>28748.0</v>
      </c>
      <c r="E146" s="358">
        <v>4.66903728E8</v>
      </c>
      <c r="F146" s="358" t="s">
        <v>2113</v>
      </c>
      <c r="G146" s="360" t="s">
        <v>1058</v>
      </c>
      <c r="H146" s="358" t="s">
        <v>2114</v>
      </c>
      <c r="I146" s="362" t="s">
        <v>2115</v>
      </c>
      <c r="J146" s="358">
        <v>8.4568925E7</v>
      </c>
      <c r="K146" s="358" t="s">
        <v>2116</v>
      </c>
      <c r="L146" s="358" t="s">
        <v>2117</v>
      </c>
      <c r="M146" s="358" t="s">
        <v>1063</v>
      </c>
      <c r="N146" s="358" t="s">
        <v>2118</v>
      </c>
      <c r="O146" s="358" t="s">
        <v>1529</v>
      </c>
    </row>
    <row r="147">
      <c r="A147" s="358" t="s">
        <v>2119</v>
      </c>
      <c r="B147" s="358">
        <v>279.0</v>
      </c>
      <c r="C147" s="358" t="s">
        <v>2120</v>
      </c>
      <c r="D147" s="359">
        <v>28610.0</v>
      </c>
      <c r="E147" s="358">
        <v>2.64813881E8</v>
      </c>
      <c r="F147" s="358" t="s">
        <v>2121</v>
      </c>
      <c r="G147" s="360" t="s">
        <v>1058</v>
      </c>
      <c r="H147" s="358" t="s">
        <v>2122</v>
      </c>
      <c r="I147" s="362" t="s">
        <v>2123</v>
      </c>
      <c r="J147" s="358">
        <v>2.7318933E7</v>
      </c>
      <c r="K147" s="358" t="s">
        <v>1061</v>
      </c>
      <c r="L147" s="358" t="s">
        <v>2124</v>
      </c>
      <c r="M147" s="358" t="s">
        <v>1063</v>
      </c>
      <c r="N147" s="358" t="s">
        <v>2125</v>
      </c>
      <c r="O147" s="358" t="s">
        <v>1410</v>
      </c>
    </row>
    <row r="148">
      <c r="A148" s="358" t="s">
        <v>2126</v>
      </c>
      <c r="B148" s="358">
        <v>1196.0</v>
      </c>
      <c r="C148" s="358" t="s">
        <v>1698</v>
      </c>
      <c r="D148" s="359">
        <v>31090.0</v>
      </c>
      <c r="E148" s="358">
        <v>5.8023348E8</v>
      </c>
      <c r="F148" s="358" t="s">
        <v>2127</v>
      </c>
      <c r="G148" s="360" t="s">
        <v>1058</v>
      </c>
      <c r="H148" s="358" t="s">
        <v>2128</v>
      </c>
      <c r="I148" s="361" t="s">
        <v>2129</v>
      </c>
      <c r="J148" s="358">
        <v>8.2790795E7</v>
      </c>
      <c r="K148" s="358" t="s">
        <v>1061</v>
      </c>
      <c r="L148" s="358" t="s">
        <v>2130</v>
      </c>
      <c r="M148" s="358" t="s">
        <v>1151</v>
      </c>
      <c r="N148" s="358" t="s">
        <v>2131</v>
      </c>
      <c r="O148" s="358" t="s">
        <v>2132</v>
      </c>
    </row>
    <row r="149">
      <c r="A149" s="358" t="s">
        <v>2133</v>
      </c>
      <c r="B149" s="358">
        <v>1655.0</v>
      </c>
      <c r="C149" s="358" t="s">
        <v>2134</v>
      </c>
      <c r="D149" s="359">
        <v>33644.0</v>
      </c>
      <c r="E149" s="358">
        <v>4.57955399E8</v>
      </c>
      <c r="F149" s="358" t="s">
        <v>2135</v>
      </c>
      <c r="G149" s="360" t="s">
        <v>1058</v>
      </c>
      <c r="H149" s="358" t="s">
        <v>2136</v>
      </c>
      <c r="I149" s="362" t="s">
        <v>2137</v>
      </c>
      <c r="J149" s="358">
        <v>9.4583161E7</v>
      </c>
      <c r="K149" s="358" t="s">
        <v>1061</v>
      </c>
      <c r="L149" s="358" t="s">
        <v>2138</v>
      </c>
      <c r="M149" s="358" t="s">
        <v>1151</v>
      </c>
      <c r="N149" s="358" t="s">
        <v>2139</v>
      </c>
      <c r="O149" s="358" t="s">
        <v>2140</v>
      </c>
    </row>
    <row r="150">
      <c r="A150" s="358" t="s">
        <v>2141</v>
      </c>
      <c r="B150" s="358">
        <v>1400.0</v>
      </c>
      <c r="C150" s="358" t="s">
        <v>2090</v>
      </c>
      <c r="D150" s="359">
        <v>29186.0</v>
      </c>
      <c r="E150" s="358">
        <v>2.67976458E8</v>
      </c>
      <c r="F150" s="358" t="s">
        <v>2142</v>
      </c>
      <c r="G150" s="360" t="s">
        <v>1058</v>
      </c>
      <c r="H150" s="358" t="s">
        <v>2143</v>
      </c>
      <c r="I150" s="362" t="s">
        <v>2144</v>
      </c>
      <c r="J150" s="358">
        <v>8.7409852E7</v>
      </c>
      <c r="K150" s="358" t="s">
        <v>1061</v>
      </c>
      <c r="L150" s="358" t="s">
        <v>2145</v>
      </c>
      <c r="M150" s="358" t="s">
        <v>1063</v>
      </c>
      <c r="N150" s="358" t="s">
        <v>2146</v>
      </c>
      <c r="O150" s="358" t="s">
        <v>2147</v>
      </c>
    </row>
    <row r="151">
      <c r="A151" s="358" t="s">
        <v>2148</v>
      </c>
      <c r="B151" s="358">
        <v>1054.0</v>
      </c>
      <c r="C151" s="358" t="s">
        <v>1804</v>
      </c>
      <c r="D151" s="359">
        <v>27972.0</v>
      </c>
      <c r="E151" s="358">
        <v>4.23088713E8</v>
      </c>
      <c r="F151" s="358" t="s">
        <v>2149</v>
      </c>
      <c r="G151" s="360" t="s">
        <v>1058</v>
      </c>
      <c r="H151" s="358" t="s">
        <v>2150</v>
      </c>
      <c r="I151" s="362" t="s">
        <v>2151</v>
      </c>
      <c r="J151" s="358">
        <v>9.2589936E7</v>
      </c>
      <c r="K151" s="358" t="s">
        <v>2152</v>
      </c>
      <c r="L151" s="358" t="s">
        <v>2153</v>
      </c>
      <c r="M151" s="358" t="s">
        <v>1063</v>
      </c>
      <c r="N151" s="358" t="s">
        <v>2154</v>
      </c>
      <c r="O151" s="358" t="s">
        <v>2155</v>
      </c>
    </row>
    <row r="152">
      <c r="A152" s="358" t="s">
        <v>2156</v>
      </c>
      <c r="B152" s="358">
        <v>1711.0</v>
      </c>
      <c r="C152" s="358" t="s">
        <v>2157</v>
      </c>
      <c r="D152" s="359">
        <v>39174.0</v>
      </c>
      <c r="E152" s="358">
        <v>6.6152462E8</v>
      </c>
      <c r="F152" s="358" t="s">
        <v>2158</v>
      </c>
      <c r="G152" s="360" t="s">
        <v>1058</v>
      </c>
      <c r="H152" s="358" t="s">
        <v>2159</v>
      </c>
      <c r="I152" s="362" t="s">
        <v>2160</v>
      </c>
      <c r="J152" s="358">
        <v>9.6968966E7</v>
      </c>
      <c r="K152" s="358" t="s">
        <v>2161</v>
      </c>
      <c r="L152" s="358" t="s">
        <v>2162</v>
      </c>
      <c r="M152" s="358" t="s">
        <v>1063</v>
      </c>
      <c r="N152" s="358" t="s">
        <v>2163</v>
      </c>
      <c r="O152" s="358" t="s">
        <v>2164</v>
      </c>
    </row>
    <row r="153">
      <c r="A153" s="358" t="s">
        <v>2165</v>
      </c>
      <c r="B153" s="358">
        <v>855.0</v>
      </c>
      <c r="C153" s="358" t="s">
        <v>2166</v>
      </c>
      <c r="D153" s="359">
        <v>29040.0</v>
      </c>
      <c r="E153" s="358">
        <v>3.77406491E8</v>
      </c>
      <c r="F153" s="358" t="s">
        <v>2167</v>
      </c>
      <c r="G153" s="358" t="s">
        <v>2168</v>
      </c>
      <c r="H153" s="358" t="s">
        <v>2169</v>
      </c>
      <c r="I153" s="362" t="s">
        <v>2170</v>
      </c>
      <c r="J153" s="358">
        <v>7.5936003E7</v>
      </c>
      <c r="K153" s="358" t="s">
        <v>2171</v>
      </c>
      <c r="L153" s="358" t="s">
        <v>2172</v>
      </c>
      <c r="M153" s="358" t="s">
        <v>1063</v>
      </c>
      <c r="N153" s="358" t="s">
        <v>2173</v>
      </c>
      <c r="O153" s="358" t="s">
        <v>2174</v>
      </c>
    </row>
    <row r="154">
      <c r="A154" s="358" t="s">
        <v>2175</v>
      </c>
      <c r="B154" s="358">
        <v>891.0</v>
      </c>
      <c r="C154" s="358" t="s">
        <v>2176</v>
      </c>
      <c r="D154" s="359">
        <v>29914.0</v>
      </c>
      <c r="E154" s="358">
        <v>4.93769407E8</v>
      </c>
      <c r="F154" s="358" t="s">
        <v>2177</v>
      </c>
      <c r="G154" s="360" t="s">
        <v>1058</v>
      </c>
      <c r="H154" s="358" t="s">
        <v>2178</v>
      </c>
      <c r="I154" s="362" t="s">
        <v>2179</v>
      </c>
      <c r="J154" s="358">
        <v>7.6984648E7</v>
      </c>
      <c r="K154" s="358" t="s">
        <v>2180</v>
      </c>
      <c r="L154" s="358" t="s">
        <v>2181</v>
      </c>
      <c r="M154" s="358" t="s">
        <v>1063</v>
      </c>
      <c r="N154" s="358" t="s">
        <v>2182</v>
      </c>
      <c r="O154" s="358" t="s">
        <v>1898</v>
      </c>
    </row>
    <row r="155">
      <c r="A155" s="358" t="s">
        <v>2183</v>
      </c>
      <c r="B155" s="358">
        <v>592.0</v>
      </c>
      <c r="C155" s="358" t="s">
        <v>2184</v>
      </c>
      <c r="D155" s="359">
        <v>25985.0</v>
      </c>
      <c r="E155" s="358">
        <v>2.9967804E8</v>
      </c>
      <c r="F155" s="358" t="s">
        <v>2185</v>
      </c>
      <c r="G155" s="358" t="s">
        <v>1574</v>
      </c>
      <c r="H155" s="358" t="s">
        <v>2186</v>
      </c>
      <c r="I155" s="362" t="s">
        <v>2187</v>
      </c>
      <c r="J155" s="358">
        <v>7.1691316E7</v>
      </c>
      <c r="K155" s="358" t="s">
        <v>2188</v>
      </c>
      <c r="L155" s="358" t="s">
        <v>2189</v>
      </c>
      <c r="M155" s="358" t="s">
        <v>1063</v>
      </c>
      <c r="N155" s="358" t="s">
        <v>2190</v>
      </c>
      <c r="O155" s="358" t="s">
        <v>2191</v>
      </c>
    </row>
    <row r="156">
      <c r="A156" s="358" t="s">
        <v>2192</v>
      </c>
      <c r="B156" s="358">
        <v>1731.0</v>
      </c>
      <c r="C156" s="358" t="s">
        <v>2193</v>
      </c>
      <c r="D156" s="359">
        <v>31096.0</v>
      </c>
      <c r="E156" s="358">
        <v>5.53648883E8</v>
      </c>
      <c r="F156" s="358" t="s">
        <v>1603</v>
      </c>
      <c r="G156" s="360" t="s">
        <v>1058</v>
      </c>
      <c r="H156" s="358" t="s">
        <v>1604</v>
      </c>
      <c r="I156" s="362" t="s">
        <v>2194</v>
      </c>
      <c r="J156" s="358">
        <v>9.8190148E7</v>
      </c>
      <c r="K156" s="358" t="s">
        <v>2195</v>
      </c>
      <c r="L156" s="358" t="s">
        <v>2196</v>
      </c>
      <c r="M156" s="358" t="s">
        <v>1151</v>
      </c>
      <c r="N156" s="358" t="s">
        <v>2197</v>
      </c>
      <c r="O156" s="358" t="s">
        <v>2198</v>
      </c>
    </row>
    <row r="157">
      <c r="A157" s="358" t="s">
        <v>2199</v>
      </c>
      <c r="B157" s="358">
        <v>892.0</v>
      </c>
      <c r="C157" s="358" t="s">
        <v>2200</v>
      </c>
      <c r="D157" s="359">
        <v>25009.0</v>
      </c>
      <c r="E157" s="358">
        <v>3.93333875E8</v>
      </c>
      <c r="F157" s="358" t="s">
        <v>2201</v>
      </c>
      <c r="G157" s="358" t="s">
        <v>1574</v>
      </c>
      <c r="H157" s="358" t="s">
        <v>2202</v>
      </c>
      <c r="I157" s="362" t="s">
        <v>2203</v>
      </c>
      <c r="J157" s="358">
        <v>7.7000439E7</v>
      </c>
      <c r="K157" s="358" t="s">
        <v>2204</v>
      </c>
      <c r="L157" s="358" t="s">
        <v>2205</v>
      </c>
      <c r="M157" s="358" t="s">
        <v>1063</v>
      </c>
      <c r="N157" s="358" t="s">
        <v>2206</v>
      </c>
      <c r="O157" s="358" t="s">
        <v>2207</v>
      </c>
    </row>
    <row r="158">
      <c r="A158" s="358" t="s">
        <v>2208</v>
      </c>
      <c r="B158" s="358">
        <v>1257.0</v>
      </c>
      <c r="C158" s="358" t="s">
        <v>2209</v>
      </c>
      <c r="D158" s="359">
        <v>25380.0</v>
      </c>
      <c r="E158" s="358">
        <v>6.87532E8</v>
      </c>
      <c r="F158" s="358" t="s">
        <v>2210</v>
      </c>
      <c r="G158" s="360" t="s">
        <v>1058</v>
      </c>
      <c r="H158" s="358" t="s">
        <v>2211</v>
      </c>
      <c r="I158" s="362" t="s">
        <v>2212</v>
      </c>
      <c r="J158" s="358">
        <v>7.5349191E7</v>
      </c>
      <c r="K158" s="358" t="s">
        <v>2213</v>
      </c>
      <c r="L158" s="358" t="s">
        <v>2214</v>
      </c>
      <c r="M158" s="358" t="s">
        <v>1063</v>
      </c>
      <c r="N158" s="358" t="s">
        <v>2215</v>
      </c>
      <c r="O158" s="358" t="s">
        <v>2216</v>
      </c>
    </row>
    <row r="159">
      <c r="A159" s="358" t="s">
        <v>2217</v>
      </c>
      <c r="B159" s="358">
        <v>1669.0</v>
      </c>
      <c r="C159" s="358" t="s">
        <v>2218</v>
      </c>
      <c r="D159" s="359">
        <v>27687.0</v>
      </c>
      <c r="E159" s="358">
        <v>2.65584772E8</v>
      </c>
      <c r="F159" s="358" t="s">
        <v>2219</v>
      </c>
      <c r="G159" s="360" t="s">
        <v>1058</v>
      </c>
      <c r="H159" s="358" t="s">
        <v>2220</v>
      </c>
      <c r="I159" s="362" t="s">
        <v>2221</v>
      </c>
      <c r="J159" s="358">
        <v>8.7768038E7</v>
      </c>
      <c r="K159" s="358" t="s">
        <v>2222</v>
      </c>
      <c r="L159" s="358" t="s">
        <v>2223</v>
      </c>
      <c r="M159" s="358" t="s">
        <v>1063</v>
      </c>
      <c r="N159" s="358" t="s">
        <v>2224</v>
      </c>
      <c r="O159" s="358" t="s">
        <v>2225</v>
      </c>
    </row>
    <row r="160">
      <c r="A160" s="358" t="s">
        <v>2226</v>
      </c>
      <c r="B160" s="358">
        <v>288.0</v>
      </c>
      <c r="C160" s="358" t="s">
        <v>2227</v>
      </c>
      <c r="D160" s="359">
        <v>32929.0</v>
      </c>
      <c r="E160" s="358">
        <v>5.47925281E8</v>
      </c>
      <c r="F160" s="358" t="s">
        <v>2228</v>
      </c>
      <c r="G160" s="360" t="s">
        <v>1058</v>
      </c>
      <c r="H160" s="358" t="s">
        <v>1752</v>
      </c>
      <c r="I160" s="362" t="s">
        <v>2229</v>
      </c>
      <c r="J160" s="358">
        <v>6.5346491E7</v>
      </c>
      <c r="K160" s="358" t="s">
        <v>2230</v>
      </c>
      <c r="L160" s="358" t="s">
        <v>2231</v>
      </c>
      <c r="M160" s="358" t="s">
        <v>1063</v>
      </c>
      <c r="N160" s="358" t="s">
        <v>2232</v>
      </c>
      <c r="O160" s="358" t="s">
        <v>2233</v>
      </c>
    </row>
    <row r="161">
      <c r="A161" s="358" t="s">
        <v>2234</v>
      </c>
      <c r="B161" s="358">
        <v>1409.0</v>
      </c>
      <c r="C161" s="358" t="s">
        <v>2235</v>
      </c>
      <c r="D161" s="359">
        <v>32855.0</v>
      </c>
      <c r="E161" s="358">
        <v>5.4999203E8</v>
      </c>
      <c r="F161" s="358" t="s">
        <v>2236</v>
      </c>
      <c r="G161" s="358" t="s">
        <v>2237</v>
      </c>
      <c r="H161" s="358" t="s">
        <v>2238</v>
      </c>
      <c r="I161" s="362" t="s">
        <v>2239</v>
      </c>
      <c r="J161" s="358">
        <v>8.7821095E7</v>
      </c>
      <c r="K161" s="358" t="s">
        <v>2240</v>
      </c>
      <c r="L161" s="358" t="s">
        <v>2241</v>
      </c>
      <c r="M161" s="358" t="s">
        <v>1063</v>
      </c>
      <c r="N161" s="358" t="s">
        <v>2242</v>
      </c>
      <c r="O161" s="358" t="s">
        <v>2243</v>
      </c>
    </row>
    <row r="162">
      <c r="A162" s="358" t="s">
        <v>2244</v>
      </c>
      <c r="B162" s="358">
        <v>754.0</v>
      </c>
      <c r="C162" s="358" t="s">
        <v>2245</v>
      </c>
      <c r="D162" s="359">
        <v>32306.0</v>
      </c>
      <c r="E162" s="358">
        <v>6.41517749E8</v>
      </c>
      <c r="F162" s="358" t="s">
        <v>2246</v>
      </c>
      <c r="G162" s="360" t="s">
        <v>1058</v>
      </c>
      <c r="H162" s="358" t="s">
        <v>2247</v>
      </c>
      <c r="I162" s="362" t="s">
        <v>2248</v>
      </c>
      <c r="J162" s="358">
        <v>7.4125141E7</v>
      </c>
      <c r="K162" s="358" t="s">
        <v>2249</v>
      </c>
      <c r="L162" s="358" t="s">
        <v>2250</v>
      </c>
      <c r="M162" s="358" t="s">
        <v>1063</v>
      </c>
      <c r="N162" s="358" t="s">
        <v>2251</v>
      </c>
      <c r="O162" s="358" t="s">
        <v>1425</v>
      </c>
    </row>
    <row r="163">
      <c r="A163" s="358" t="s">
        <v>2252</v>
      </c>
      <c r="B163" s="358">
        <v>1044.0</v>
      </c>
      <c r="C163" s="358" t="s">
        <v>2253</v>
      </c>
      <c r="D163" s="359">
        <v>27811.0</v>
      </c>
      <c r="E163" s="358">
        <v>5.58784288E8</v>
      </c>
      <c r="F163" s="358" t="s">
        <v>2254</v>
      </c>
      <c r="G163" s="358" t="s">
        <v>2255</v>
      </c>
      <c r="H163" s="358" t="s">
        <v>2256</v>
      </c>
      <c r="I163" s="362" t="s">
        <v>2257</v>
      </c>
      <c r="J163" s="358">
        <v>8.0806775E7</v>
      </c>
      <c r="K163" s="358" t="s">
        <v>2258</v>
      </c>
      <c r="L163" s="358" t="s">
        <v>2259</v>
      </c>
      <c r="M163" s="358" t="s">
        <v>1063</v>
      </c>
      <c r="N163" s="358" t="s">
        <v>2260</v>
      </c>
      <c r="O163" s="358" t="s">
        <v>2261</v>
      </c>
    </row>
    <row r="164">
      <c r="A164" s="358" t="s">
        <v>2262</v>
      </c>
      <c r="B164" s="358">
        <v>1607.0</v>
      </c>
      <c r="C164" s="358" t="s">
        <v>2263</v>
      </c>
      <c r="D164" s="359">
        <v>30563.0</v>
      </c>
      <c r="E164" s="358">
        <v>7.80122562E8</v>
      </c>
      <c r="F164" s="358" t="s">
        <v>2264</v>
      </c>
      <c r="G164" s="360" t="s">
        <v>1058</v>
      </c>
      <c r="H164" s="358" t="s">
        <v>2265</v>
      </c>
      <c r="I164" s="362" t="s">
        <v>2266</v>
      </c>
      <c r="J164" s="358">
        <v>8.5220094E7</v>
      </c>
      <c r="K164" s="358" t="s">
        <v>2267</v>
      </c>
      <c r="L164" s="358" t="s">
        <v>2268</v>
      </c>
      <c r="M164" s="358" t="s">
        <v>1063</v>
      </c>
      <c r="N164" s="358" t="s">
        <v>2269</v>
      </c>
      <c r="O164" s="358" t="s">
        <v>1479</v>
      </c>
    </row>
    <row r="165">
      <c r="A165" s="358" t="s">
        <v>2270</v>
      </c>
      <c r="B165" s="358">
        <v>841.0</v>
      </c>
      <c r="C165" s="358" t="s">
        <v>2271</v>
      </c>
      <c r="D165" s="359">
        <v>28787.0</v>
      </c>
      <c r="E165" s="358">
        <v>2.64187842E8</v>
      </c>
      <c r="F165" s="358" t="s">
        <v>2272</v>
      </c>
      <c r="G165" s="358" t="s">
        <v>74</v>
      </c>
      <c r="H165" s="358" t="s">
        <v>2273</v>
      </c>
      <c r="I165" s="362" t="s">
        <v>2274</v>
      </c>
      <c r="J165" s="358">
        <v>7.6531775E7</v>
      </c>
      <c r="K165" s="358" t="s">
        <v>2275</v>
      </c>
      <c r="L165" s="358" t="s">
        <v>2276</v>
      </c>
      <c r="M165" s="358" t="s">
        <v>1151</v>
      </c>
      <c r="N165" s="358" t="s">
        <v>2277</v>
      </c>
      <c r="O165" s="358" t="s">
        <v>1270</v>
      </c>
    </row>
    <row r="166">
      <c r="A166" s="358" t="s">
        <v>2278</v>
      </c>
      <c r="B166" s="358">
        <v>1736.0</v>
      </c>
      <c r="C166" s="154"/>
      <c r="D166" s="154"/>
      <c r="E166" s="154"/>
      <c r="F166" s="154"/>
      <c r="G166" s="154"/>
      <c r="H166" s="154"/>
      <c r="I166" s="362" t="s">
        <v>2279</v>
      </c>
      <c r="J166" s="358">
        <v>9.1652081E7</v>
      </c>
      <c r="K166" s="358" t="s">
        <v>2280</v>
      </c>
      <c r="L166" s="358" t="s">
        <v>2281</v>
      </c>
      <c r="N166" s="358" t="s">
        <v>2282</v>
      </c>
    </row>
    <row r="167">
      <c r="A167" s="358" t="s">
        <v>2283</v>
      </c>
      <c r="B167" s="358">
        <v>710.0</v>
      </c>
      <c r="C167" s="358" t="s">
        <v>2284</v>
      </c>
      <c r="D167" s="359">
        <v>29051.0</v>
      </c>
      <c r="E167" s="358">
        <v>2.64280659E8</v>
      </c>
      <c r="F167" s="358" t="s">
        <v>2285</v>
      </c>
      <c r="G167" s="360" t="s">
        <v>1058</v>
      </c>
      <c r="H167" s="358" t="s">
        <v>2000</v>
      </c>
      <c r="I167" s="362" t="s">
        <v>2286</v>
      </c>
      <c r="J167" s="358">
        <v>2.7303881E7</v>
      </c>
      <c r="K167" s="358" t="s">
        <v>2287</v>
      </c>
      <c r="L167" s="358" t="s">
        <v>2288</v>
      </c>
      <c r="M167" s="358" t="s">
        <v>1063</v>
      </c>
      <c r="N167" s="358" t="s">
        <v>2289</v>
      </c>
      <c r="O167" s="358" t="s">
        <v>2290</v>
      </c>
    </row>
    <row r="168">
      <c r="A168" s="358" t="s">
        <v>2291</v>
      </c>
      <c r="B168" s="358">
        <v>1442.0</v>
      </c>
      <c r="C168" s="358" t="s">
        <v>1066</v>
      </c>
      <c r="D168" s="359">
        <v>30114.0</v>
      </c>
      <c r="E168" s="358">
        <v>6.75952967E8</v>
      </c>
      <c r="F168" s="358" t="s">
        <v>1482</v>
      </c>
      <c r="G168" s="360" t="s">
        <v>1058</v>
      </c>
      <c r="H168" s="358" t="s">
        <v>1483</v>
      </c>
      <c r="I168" s="362" t="s">
        <v>2292</v>
      </c>
      <c r="J168" s="358">
        <v>7.849633E7</v>
      </c>
      <c r="K168" s="358" t="s">
        <v>2293</v>
      </c>
      <c r="L168" s="358" t="s">
        <v>2294</v>
      </c>
      <c r="M168" s="358" t="s">
        <v>1151</v>
      </c>
      <c r="N168" s="358" t="s">
        <v>2295</v>
      </c>
      <c r="O168" s="358" t="s">
        <v>2296</v>
      </c>
    </row>
    <row r="169">
      <c r="A169" s="358" t="s">
        <v>2297</v>
      </c>
      <c r="B169" s="358">
        <v>1326.0</v>
      </c>
      <c r="C169" s="358" t="s">
        <v>1263</v>
      </c>
      <c r="D169" s="359">
        <v>27791.0</v>
      </c>
      <c r="E169" s="358">
        <v>2.64138764E8</v>
      </c>
      <c r="F169" s="358" t="s">
        <v>2298</v>
      </c>
      <c r="G169" s="360" t="s">
        <v>1058</v>
      </c>
      <c r="H169" s="358" t="s">
        <v>2299</v>
      </c>
      <c r="I169" s="362" t="s">
        <v>2300</v>
      </c>
      <c r="J169" s="358">
        <v>2.7344296E7</v>
      </c>
      <c r="K169" s="358" t="s">
        <v>2301</v>
      </c>
      <c r="L169" s="358" t="s">
        <v>2302</v>
      </c>
      <c r="M169" s="358" t="s">
        <v>1063</v>
      </c>
      <c r="N169" s="358" t="s">
        <v>2303</v>
      </c>
      <c r="O169" s="358" t="s">
        <v>2304</v>
      </c>
    </row>
    <row r="170">
      <c r="A170" s="358" t="s">
        <v>2305</v>
      </c>
      <c r="B170" s="358">
        <v>34.0</v>
      </c>
      <c r="C170" s="358" t="s">
        <v>2306</v>
      </c>
      <c r="D170" s="359">
        <v>23787.0</v>
      </c>
      <c r="E170" s="358">
        <v>2.50920724E8</v>
      </c>
      <c r="F170" s="358" t="s">
        <v>2307</v>
      </c>
      <c r="G170" s="360" t="s">
        <v>1058</v>
      </c>
      <c r="H170" s="358" t="s">
        <v>2308</v>
      </c>
      <c r="I170" s="362" t="s">
        <v>2309</v>
      </c>
      <c r="J170" s="358">
        <v>5.760706E7</v>
      </c>
      <c r="K170" s="358" t="s">
        <v>1061</v>
      </c>
      <c r="L170" s="358" t="s">
        <v>2310</v>
      </c>
      <c r="M170" s="358" t="s">
        <v>1063</v>
      </c>
      <c r="N170" s="358" t="s">
        <v>2311</v>
      </c>
      <c r="O170" s="358" t="s">
        <v>2312</v>
      </c>
    </row>
    <row r="171">
      <c r="A171" s="358" t="s">
        <v>2313</v>
      </c>
      <c r="B171" s="358">
        <v>1742.0</v>
      </c>
      <c r="C171" s="154"/>
      <c r="D171" s="154"/>
      <c r="E171" s="154"/>
      <c r="F171" s="358" t="s">
        <v>2314</v>
      </c>
      <c r="G171" s="358" t="s">
        <v>2237</v>
      </c>
      <c r="H171" s="358" t="s">
        <v>2315</v>
      </c>
      <c r="I171" s="363"/>
      <c r="J171" s="358">
        <v>9.225299E7</v>
      </c>
      <c r="K171" s="358" t="s">
        <v>1061</v>
      </c>
      <c r="L171" s="358" t="s">
        <v>2316</v>
      </c>
      <c r="N171" s="154"/>
      <c r="O171" s="154"/>
    </row>
    <row r="172">
      <c r="A172" s="358" t="s">
        <v>2317</v>
      </c>
      <c r="B172" s="358">
        <v>866.0</v>
      </c>
      <c r="C172" s="358" t="s">
        <v>2271</v>
      </c>
      <c r="D172" s="359">
        <v>29942.0</v>
      </c>
      <c r="E172" s="358">
        <v>3.63298289E8</v>
      </c>
      <c r="F172" s="358" t="s">
        <v>2318</v>
      </c>
      <c r="G172" s="360" t="s">
        <v>1058</v>
      </c>
      <c r="H172" s="358" t="s">
        <v>1838</v>
      </c>
      <c r="I172" s="362" t="s">
        <v>2319</v>
      </c>
      <c r="J172" s="358">
        <v>7.6117863E7</v>
      </c>
      <c r="K172" s="358" t="s">
        <v>2320</v>
      </c>
      <c r="L172" s="358" t="s">
        <v>2321</v>
      </c>
      <c r="M172" s="358" t="s">
        <v>1063</v>
      </c>
      <c r="N172" s="358" t="s">
        <v>2322</v>
      </c>
      <c r="O172" s="358" t="s">
        <v>2323</v>
      </c>
    </row>
    <row r="173">
      <c r="A173" s="358" t="s">
        <v>2324</v>
      </c>
      <c r="B173" s="358">
        <v>378.0</v>
      </c>
      <c r="C173" s="358" t="s">
        <v>2325</v>
      </c>
      <c r="D173" s="359">
        <v>29208.0</v>
      </c>
      <c r="E173" s="358">
        <v>2.64594356E8</v>
      </c>
      <c r="F173" s="358" t="s">
        <v>2326</v>
      </c>
      <c r="G173" s="358" t="s">
        <v>2327</v>
      </c>
      <c r="H173" s="358" t="s">
        <v>2328</v>
      </c>
      <c r="I173" s="363"/>
      <c r="J173" s="154"/>
      <c r="K173" s="358" t="s">
        <v>1061</v>
      </c>
      <c r="L173" s="358" t="s">
        <v>2329</v>
      </c>
      <c r="M173" s="358" t="s">
        <v>1063</v>
      </c>
      <c r="N173" s="154"/>
      <c r="O173" s="358" t="s">
        <v>2330</v>
      </c>
    </row>
    <row r="174">
      <c r="A174" s="358" t="s">
        <v>2331</v>
      </c>
      <c r="B174" s="358">
        <v>1188.0</v>
      </c>
      <c r="C174" s="358" t="s">
        <v>2332</v>
      </c>
      <c r="D174" s="359">
        <v>32971.0</v>
      </c>
      <c r="E174" s="358">
        <v>6.92309317E8</v>
      </c>
      <c r="F174" s="358" t="s">
        <v>2333</v>
      </c>
      <c r="G174" s="360" t="s">
        <v>1058</v>
      </c>
      <c r="H174" s="358" t="s">
        <v>2334</v>
      </c>
      <c r="I174" s="362" t="s">
        <v>2335</v>
      </c>
      <c r="J174" s="358">
        <v>8.2727686E7</v>
      </c>
      <c r="K174" s="358" t="s">
        <v>2336</v>
      </c>
      <c r="L174" s="358" t="s">
        <v>2337</v>
      </c>
      <c r="M174" s="358" t="s">
        <v>1063</v>
      </c>
      <c r="N174" s="358" t="s">
        <v>2338</v>
      </c>
      <c r="O174" s="358" t="s">
        <v>2339</v>
      </c>
    </row>
    <row r="175">
      <c r="A175" s="358" t="s">
        <v>2340</v>
      </c>
      <c r="B175" s="358">
        <v>1034.0</v>
      </c>
      <c r="C175" s="358" t="s">
        <v>2341</v>
      </c>
      <c r="D175" s="359">
        <v>34494.0</v>
      </c>
      <c r="E175" s="358">
        <v>6.04551976E8</v>
      </c>
      <c r="F175" s="358" t="s">
        <v>2342</v>
      </c>
      <c r="G175" s="360" t="s">
        <v>1058</v>
      </c>
      <c r="H175" s="358" t="s">
        <v>2343</v>
      </c>
      <c r="I175" s="362" t="s">
        <v>2344</v>
      </c>
      <c r="J175" s="358">
        <v>8.0729339E7</v>
      </c>
      <c r="K175" s="358" t="s">
        <v>2345</v>
      </c>
      <c r="L175" s="358" t="s">
        <v>2346</v>
      </c>
      <c r="M175" s="358" t="s">
        <v>1063</v>
      </c>
      <c r="N175" s="358" t="s">
        <v>2347</v>
      </c>
      <c r="O175" s="358" t="s">
        <v>2348</v>
      </c>
    </row>
    <row r="176">
      <c r="A176" s="358" t="s">
        <v>2349</v>
      </c>
      <c r="B176" s="358">
        <v>566.0</v>
      </c>
      <c r="C176" s="358" t="s">
        <v>1230</v>
      </c>
      <c r="D176" s="359">
        <v>36165.0</v>
      </c>
      <c r="E176" s="358">
        <v>6.2391825E8</v>
      </c>
      <c r="F176" s="358" t="s">
        <v>2350</v>
      </c>
      <c r="G176" s="360" t="s">
        <v>1058</v>
      </c>
      <c r="H176" s="358" t="s">
        <v>2351</v>
      </c>
      <c r="I176" s="361" t="s">
        <v>2352</v>
      </c>
      <c r="J176" s="358">
        <v>7.1439684E7</v>
      </c>
      <c r="K176" s="358" t="s">
        <v>1061</v>
      </c>
      <c r="L176" s="358" t="s">
        <v>2353</v>
      </c>
      <c r="M176" s="358" t="s">
        <v>1063</v>
      </c>
      <c r="N176" s="358" t="s">
        <v>2354</v>
      </c>
      <c r="O176" s="358" t="s">
        <v>2349</v>
      </c>
    </row>
    <row r="177">
      <c r="A177" s="358" t="s">
        <v>2355</v>
      </c>
      <c r="B177" s="358">
        <v>1258.0</v>
      </c>
      <c r="C177" s="358" t="s">
        <v>2356</v>
      </c>
      <c r="D177" s="359">
        <v>30674.0</v>
      </c>
      <c r="E177" s="358">
        <v>3.36918069E8</v>
      </c>
      <c r="F177" s="358" t="s">
        <v>2357</v>
      </c>
      <c r="G177" s="360" t="s">
        <v>1058</v>
      </c>
      <c r="H177" s="358" t="s">
        <v>2358</v>
      </c>
      <c r="I177" s="362" t="s">
        <v>2359</v>
      </c>
      <c r="J177" s="358">
        <v>6.9487677E7</v>
      </c>
      <c r="K177" s="358" t="s">
        <v>2360</v>
      </c>
      <c r="L177" s="358" t="s">
        <v>2361</v>
      </c>
      <c r="M177" s="358" t="s">
        <v>1063</v>
      </c>
      <c r="N177" s="358" t="s">
        <v>2362</v>
      </c>
      <c r="O177" s="358" t="s">
        <v>1309</v>
      </c>
    </row>
    <row r="178">
      <c r="A178" s="358" t="s">
        <v>2363</v>
      </c>
      <c r="B178" s="358">
        <v>1567.0</v>
      </c>
      <c r="C178" s="358" t="s">
        <v>2364</v>
      </c>
      <c r="D178" s="359">
        <v>33766.0</v>
      </c>
      <c r="E178" s="358">
        <v>2.9540994E8</v>
      </c>
      <c r="F178" s="358" t="s">
        <v>2365</v>
      </c>
      <c r="G178" s="360" t="s">
        <v>1058</v>
      </c>
      <c r="H178" s="358" t="s">
        <v>2366</v>
      </c>
      <c r="I178" s="362" t="s">
        <v>2367</v>
      </c>
      <c r="J178" s="358">
        <v>9.2475663E7</v>
      </c>
      <c r="K178" s="358" t="s">
        <v>2368</v>
      </c>
      <c r="L178" s="358" t="s">
        <v>2369</v>
      </c>
      <c r="M178" s="358" t="s">
        <v>1063</v>
      </c>
      <c r="N178" s="358" t="s">
        <v>2370</v>
      </c>
      <c r="O178" s="358" t="s">
        <v>2371</v>
      </c>
    </row>
    <row r="179">
      <c r="A179" s="358" t="s">
        <v>2372</v>
      </c>
      <c r="B179" s="358">
        <v>416.0</v>
      </c>
      <c r="C179" s="358" t="s">
        <v>2373</v>
      </c>
      <c r="D179" s="359">
        <v>28424.0</v>
      </c>
      <c r="E179" s="358">
        <v>3.68962258E8</v>
      </c>
      <c r="F179" s="358" t="s">
        <v>2374</v>
      </c>
      <c r="G179" s="358" t="s">
        <v>2375</v>
      </c>
      <c r="H179" s="358" t="s">
        <v>2376</v>
      </c>
      <c r="I179" s="362" t="s">
        <v>2377</v>
      </c>
      <c r="J179" s="358">
        <v>6.8955189E7</v>
      </c>
      <c r="K179" s="358" t="s">
        <v>2378</v>
      </c>
      <c r="L179" s="358" t="s">
        <v>2379</v>
      </c>
      <c r="M179" s="358" t="s">
        <v>1063</v>
      </c>
      <c r="N179" s="358" t="s">
        <v>2380</v>
      </c>
      <c r="O179" s="358" t="s">
        <v>2381</v>
      </c>
    </row>
    <row r="180">
      <c r="A180" s="358" t="s">
        <v>2382</v>
      </c>
      <c r="B180" s="358">
        <v>1455.0</v>
      </c>
      <c r="C180" s="358" t="s">
        <v>1319</v>
      </c>
      <c r="D180" s="359">
        <v>35621.0</v>
      </c>
      <c r="E180" s="358">
        <v>3.88340022E8</v>
      </c>
      <c r="F180" s="358" t="s">
        <v>2383</v>
      </c>
      <c r="G180" s="360" t="s">
        <v>1058</v>
      </c>
      <c r="H180" s="358" t="s">
        <v>2384</v>
      </c>
      <c r="I180" s="362" t="s">
        <v>2385</v>
      </c>
      <c r="J180" s="358">
        <v>8.9016262E7</v>
      </c>
      <c r="K180" s="358" t="s">
        <v>2386</v>
      </c>
      <c r="L180" s="358" t="s">
        <v>2387</v>
      </c>
      <c r="M180" s="358" t="s">
        <v>1063</v>
      </c>
      <c r="N180" s="358" t="s">
        <v>2388</v>
      </c>
      <c r="O180" s="358" t="s">
        <v>2339</v>
      </c>
    </row>
    <row r="181">
      <c r="A181" s="358" t="s">
        <v>2389</v>
      </c>
      <c r="B181" s="358">
        <v>911.0</v>
      </c>
      <c r="C181" s="358" t="s">
        <v>2373</v>
      </c>
      <c r="D181" s="359">
        <v>27264.0</v>
      </c>
      <c r="E181" s="358">
        <v>5.22111026E8</v>
      </c>
      <c r="F181" s="358" t="s">
        <v>2390</v>
      </c>
      <c r="G181" s="358" t="s">
        <v>2391</v>
      </c>
      <c r="H181" s="358" t="s">
        <v>2392</v>
      </c>
      <c r="I181" s="362" t="s">
        <v>2393</v>
      </c>
      <c r="J181" s="358">
        <v>7.7121104E7</v>
      </c>
      <c r="K181" s="358" t="s">
        <v>2394</v>
      </c>
      <c r="L181" s="358" t="s">
        <v>2395</v>
      </c>
      <c r="M181" s="358" t="s">
        <v>1063</v>
      </c>
      <c r="N181" s="358" t="s">
        <v>2396</v>
      </c>
      <c r="O181" s="358" t="s">
        <v>2397</v>
      </c>
    </row>
    <row r="182">
      <c r="A182" s="358" t="s">
        <v>2398</v>
      </c>
      <c r="B182" s="358">
        <v>1483.0</v>
      </c>
      <c r="C182" s="358" t="s">
        <v>1555</v>
      </c>
      <c r="D182" s="359">
        <v>30414.0</v>
      </c>
      <c r="E182" s="358">
        <v>5.777397E8</v>
      </c>
      <c r="F182" s="358" t="s">
        <v>2399</v>
      </c>
      <c r="G182" s="360" t="s">
        <v>1058</v>
      </c>
      <c r="H182" s="358" t="s">
        <v>2400</v>
      </c>
      <c r="I182" s="362" t="s">
        <v>2401</v>
      </c>
      <c r="J182" s="358">
        <v>7.3668672E7</v>
      </c>
      <c r="K182" s="358" t="s">
        <v>2402</v>
      </c>
      <c r="L182" s="358" t="s">
        <v>2403</v>
      </c>
      <c r="M182" s="358" t="s">
        <v>1063</v>
      </c>
      <c r="N182" s="358" t="s">
        <v>2404</v>
      </c>
      <c r="O182" s="358" t="s">
        <v>2405</v>
      </c>
    </row>
    <row r="183">
      <c r="A183" s="358" t="s">
        <v>2406</v>
      </c>
      <c r="B183" s="358">
        <v>638.0</v>
      </c>
      <c r="C183" s="358" t="s">
        <v>2407</v>
      </c>
      <c r="D183" s="359">
        <v>31166.0</v>
      </c>
      <c r="E183" s="358">
        <v>5.09444374E8</v>
      </c>
      <c r="F183" s="358" t="s">
        <v>2408</v>
      </c>
      <c r="G183" s="358" t="s">
        <v>1620</v>
      </c>
      <c r="H183" s="358" t="s">
        <v>2409</v>
      </c>
      <c r="I183" s="362" t="s">
        <v>2410</v>
      </c>
      <c r="J183" s="358">
        <v>7.271789E7</v>
      </c>
      <c r="K183" s="358" t="s">
        <v>2411</v>
      </c>
      <c r="L183" s="358" t="s">
        <v>2412</v>
      </c>
      <c r="M183" s="358" t="s">
        <v>1063</v>
      </c>
      <c r="N183" s="358" t="s">
        <v>2413</v>
      </c>
      <c r="O183" s="358" t="s">
        <v>1236</v>
      </c>
    </row>
    <row r="184">
      <c r="A184" s="358" t="s">
        <v>2414</v>
      </c>
      <c r="B184" s="358">
        <v>1274.0</v>
      </c>
      <c r="C184" s="358" t="s">
        <v>2415</v>
      </c>
      <c r="D184" s="359">
        <v>33037.0</v>
      </c>
      <c r="E184" s="358">
        <v>6.86287319E8</v>
      </c>
      <c r="F184" s="358" t="s">
        <v>2416</v>
      </c>
      <c r="G184" s="360" t="s">
        <v>1058</v>
      </c>
      <c r="H184" s="358" t="s">
        <v>2417</v>
      </c>
      <c r="I184" s="362" t="s">
        <v>2418</v>
      </c>
      <c r="J184" s="358">
        <v>9.6925264E7</v>
      </c>
      <c r="K184" s="358" t="s">
        <v>2419</v>
      </c>
      <c r="L184" s="358" t="s">
        <v>2420</v>
      </c>
      <c r="M184" s="358" t="s">
        <v>1063</v>
      </c>
      <c r="N184" s="358" t="s">
        <v>2421</v>
      </c>
      <c r="O184" s="358" t="s">
        <v>2422</v>
      </c>
    </row>
    <row r="185">
      <c r="A185" s="358" t="s">
        <v>2423</v>
      </c>
      <c r="B185" s="358">
        <v>761.0</v>
      </c>
      <c r="C185" s="358" t="s">
        <v>122</v>
      </c>
      <c r="D185" s="359">
        <v>30647.0</v>
      </c>
      <c r="E185" s="358">
        <v>2.59988595E8</v>
      </c>
      <c r="F185" s="358" t="s">
        <v>2424</v>
      </c>
      <c r="G185" s="358" t="s">
        <v>2425</v>
      </c>
      <c r="H185" s="358" t="s">
        <v>2426</v>
      </c>
      <c r="I185" s="362" t="s">
        <v>2427</v>
      </c>
      <c r="J185" s="358">
        <v>7.4579541E7</v>
      </c>
      <c r="K185" s="358" t="s">
        <v>2428</v>
      </c>
      <c r="L185" s="358" t="s">
        <v>2429</v>
      </c>
      <c r="M185" s="358" t="s">
        <v>1063</v>
      </c>
      <c r="N185" s="358" t="s">
        <v>2430</v>
      </c>
      <c r="O185" s="358" t="s">
        <v>2431</v>
      </c>
    </row>
    <row r="186">
      <c r="A186" s="358" t="s">
        <v>2432</v>
      </c>
      <c r="B186" s="358">
        <v>1362.0</v>
      </c>
      <c r="C186" s="358" t="s">
        <v>2433</v>
      </c>
      <c r="D186" s="359">
        <v>38014.0</v>
      </c>
      <c r="E186" s="358">
        <v>6.25453074E8</v>
      </c>
      <c r="F186" s="358" t="s">
        <v>2434</v>
      </c>
      <c r="G186" s="360" t="s">
        <v>1058</v>
      </c>
      <c r="H186" s="358" t="s">
        <v>2435</v>
      </c>
      <c r="I186" s="362" t="s">
        <v>2436</v>
      </c>
      <c r="J186" s="358">
        <v>8.6408569E7</v>
      </c>
      <c r="K186" s="358" t="s">
        <v>2437</v>
      </c>
      <c r="L186" s="358" t="s">
        <v>2438</v>
      </c>
      <c r="M186" s="358" t="s">
        <v>1063</v>
      </c>
      <c r="N186" s="358" t="s">
        <v>2439</v>
      </c>
      <c r="O186" s="358" t="s">
        <v>2440</v>
      </c>
    </row>
    <row r="187">
      <c r="A187" s="358" t="s">
        <v>2441</v>
      </c>
      <c r="B187" s="358">
        <v>898.0</v>
      </c>
      <c r="C187" s="358" t="s">
        <v>1822</v>
      </c>
      <c r="D187" s="359">
        <v>25493.0</v>
      </c>
      <c r="E187" s="358">
        <v>4.35359344E8</v>
      </c>
      <c r="F187" s="358" t="s">
        <v>2442</v>
      </c>
      <c r="G187" s="360" t="s">
        <v>1058</v>
      </c>
      <c r="H187" s="358" t="s">
        <v>2443</v>
      </c>
      <c r="I187" s="362" t="s">
        <v>2444</v>
      </c>
      <c r="J187" s="358">
        <v>7.1940006E7</v>
      </c>
      <c r="K187" s="358" t="s">
        <v>2445</v>
      </c>
      <c r="L187" s="358" t="s">
        <v>2446</v>
      </c>
      <c r="M187" s="358" t="s">
        <v>1063</v>
      </c>
      <c r="N187" s="358" t="s">
        <v>2447</v>
      </c>
      <c r="O187" s="358" t="s">
        <v>2448</v>
      </c>
    </row>
    <row r="188">
      <c r="A188" s="358" t="s">
        <v>2449</v>
      </c>
      <c r="B188" s="358">
        <v>1428.0</v>
      </c>
      <c r="C188" s="358" t="s">
        <v>1123</v>
      </c>
      <c r="D188" s="359">
        <v>31116.0</v>
      </c>
      <c r="E188" s="358">
        <v>5.33950818E8</v>
      </c>
      <c r="F188" s="358" t="s">
        <v>2450</v>
      </c>
      <c r="G188" s="360" t="s">
        <v>1058</v>
      </c>
      <c r="H188" s="358" t="s">
        <v>2451</v>
      </c>
      <c r="I188" s="362" t="s">
        <v>2452</v>
      </c>
      <c r="J188" s="358">
        <v>8.8061981E7</v>
      </c>
      <c r="K188" s="358" t="s">
        <v>2453</v>
      </c>
      <c r="L188" s="358" t="s">
        <v>2454</v>
      </c>
      <c r="M188" s="358" t="s">
        <v>1063</v>
      </c>
      <c r="N188" s="358" t="s">
        <v>2455</v>
      </c>
      <c r="O188" s="358" t="s">
        <v>2456</v>
      </c>
    </row>
    <row r="189">
      <c r="A189" s="358" t="s">
        <v>2457</v>
      </c>
      <c r="B189" s="358">
        <v>1361.0</v>
      </c>
      <c r="C189" s="358" t="s">
        <v>2458</v>
      </c>
      <c r="D189" s="359">
        <v>32393.0</v>
      </c>
      <c r="E189" s="358">
        <v>6.31276099E8</v>
      </c>
      <c r="F189" s="358" t="s">
        <v>2459</v>
      </c>
      <c r="G189" s="358" t="s">
        <v>2237</v>
      </c>
      <c r="H189" s="358" t="s">
        <v>2460</v>
      </c>
      <c r="I189" s="362" t="s">
        <v>2461</v>
      </c>
      <c r="J189" s="358">
        <v>7.6446263E7</v>
      </c>
      <c r="K189" s="358" t="s">
        <v>2462</v>
      </c>
      <c r="L189" s="358" t="s">
        <v>2463</v>
      </c>
      <c r="M189" s="358" t="s">
        <v>1063</v>
      </c>
      <c r="N189" s="358" t="s">
        <v>2464</v>
      </c>
      <c r="O189" s="358" t="s">
        <v>1309</v>
      </c>
    </row>
    <row r="190">
      <c r="A190" s="358" t="s">
        <v>2465</v>
      </c>
      <c r="B190" s="358">
        <v>1357.0</v>
      </c>
      <c r="C190" s="358" t="s">
        <v>2466</v>
      </c>
      <c r="D190" s="359">
        <v>37566.0</v>
      </c>
      <c r="E190" s="358">
        <v>2.83996134E8</v>
      </c>
      <c r="F190" s="358" t="s">
        <v>2467</v>
      </c>
      <c r="G190" s="360" t="s">
        <v>1058</v>
      </c>
      <c r="H190" s="358" t="s">
        <v>2468</v>
      </c>
      <c r="I190" s="362" t="s">
        <v>2469</v>
      </c>
      <c r="J190" s="358">
        <v>8.6650416E7</v>
      </c>
      <c r="K190" s="358" t="s">
        <v>2470</v>
      </c>
      <c r="L190" s="358" t="s">
        <v>2471</v>
      </c>
      <c r="M190" s="358" t="s">
        <v>1063</v>
      </c>
      <c r="N190" s="358" t="s">
        <v>2472</v>
      </c>
      <c r="O190" s="358" t="s">
        <v>1898</v>
      </c>
    </row>
    <row r="191">
      <c r="A191" s="358" t="s">
        <v>2473</v>
      </c>
      <c r="B191" s="358">
        <v>144.0</v>
      </c>
      <c r="C191" s="358" t="s">
        <v>2474</v>
      </c>
      <c r="D191" s="359">
        <v>28954.0</v>
      </c>
      <c r="E191" s="358">
        <v>5.07521304E8</v>
      </c>
      <c r="F191" s="358" t="s">
        <v>2475</v>
      </c>
      <c r="G191" s="358" t="s">
        <v>74</v>
      </c>
      <c r="H191" s="358" t="s">
        <v>2476</v>
      </c>
      <c r="I191" s="362" t="s">
        <v>2477</v>
      </c>
      <c r="J191" s="358">
        <v>6.1214523E7</v>
      </c>
      <c r="K191" s="358" t="s">
        <v>2478</v>
      </c>
      <c r="L191" s="358" t="s">
        <v>2479</v>
      </c>
      <c r="M191" s="358" t="s">
        <v>1063</v>
      </c>
      <c r="N191" s="358" t="s">
        <v>2480</v>
      </c>
      <c r="O191" s="358" t="s">
        <v>2481</v>
      </c>
    </row>
    <row r="192">
      <c r="A192" s="358" t="s">
        <v>2482</v>
      </c>
      <c r="B192" s="358">
        <v>642.0</v>
      </c>
      <c r="C192" s="358" t="s">
        <v>1427</v>
      </c>
      <c r="D192" s="359">
        <v>33007.0</v>
      </c>
      <c r="E192" s="358">
        <v>5.61183375E8</v>
      </c>
      <c r="F192" s="358" t="s">
        <v>2483</v>
      </c>
      <c r="G192" s="358" t="s">
        <v>2168</v>
      </c>
      <c r="H192" s="358" t="s">
        <v>2484</v>
      </c>
      <c r="I192" s="362" t="s">
        <v>2485</v>
      </c>
      <c r="J192" s="358">
        <v>8.9484304E7</v>
      </c>
      <c r="K192" s="358" t="s">
        <v>2486</v>
      </c>
      <c r="L192" s="358" t="s">
        <v>2487</v>
      </c>
      <c r="M192" s="358" t="s">
        <v>1063</v>
      </c>
      <c r="N192" s="358" t="s">
        <v>2488</v>
      </c>
      <c r="O192" s="358" t="s">
        <v>2489</v>
      </c>
    </row>
    <row r="193">
      <c r="A193" s="358" t="s">
        <v>2490</v>
      </c>
      <c r="B193" s="358">
        <v>200.0</v>
      </c>
      <c r="C193" s="358" t="s">
        <v>2491</v>
      </c>
      <c r="D193" s="359">
        <v>31605.0</v>
      </c>
      <c r="E193" s="358">
        <v>3.56550254E8</v>
      </c>
      <c r="F193" s="358" t="s">
        <v>2492</v>
      </c>
      <c r="G193" s="360" t="s">
        <v>2493</v>
      </c>
      <c r="H193" s="358" t="s">
        <v>2494</v>
      </c>
      <c r="I193" s="362" t="s">
        <v>2495</v>
      </c>
      <c r="J193" s="358">
        <v>6.2796607E7</v>
      </c>
      <c r="K193" s="358" t="s">
        <v>2496</v>
      </c>
      <c r="L193" s="358" t="s">
        <v>2497</v>
      </c>
      <c r="M193" s="358" t="s">
        <v>1063</v>
      </c>
      <c r="N193" s="358" t="s">
        <v>2498</v>
      </c>
      <c r="O193" s="358" t="s">
        <v>1932</v>
      </c>
    </row>
    <row r="194">
      <c r="A194" s="358" t="s">
        <v>2499</v>
      </c>
      <c r="B194" s="358">
        <v>1728.0</v>
      </c>
      <c r="C194" s="358" t="s">
        <v>2500</v>
      </c>
      <c r="D194" s="359">
        <v>29179.0</v>
      </c>
      <c r="E194" s="358">
        <v>4.10616424E8</v>
      </c>
      <c r="F194" s="358" t="s">
        <v>2374</v>
      </c>
      <c r="G194" s="358" t="s">
        <v>2375</v>
      </c>
      <c r="H194" s="358" t="s">
        <v>2376</v>
      </c>
      <c r="I194" s="362" t="s">
        <v>2501</v>
      </c>
      <c r="J194" s="358">
        <v>7.475525E7</v>
      </c>
      <c r="K194" s="358" t="s">
        <v>2502</v>
      </c>
      <c r="L194" s="358" t="s">
        <v>2503</v>
      </c>
      <c r="M194" s="358" t="s">
        <v>1063</v>
      </c>
      <c r="N194" s="358" t="s">
        <v>2504</v>
      </c>
      <c r="O194" s="358" t="s">
        <v>2505</v>
      </c>
    </row>
    <row r="195">
      <c r="A195" s="358" t="s">
        <v>2506</v>
      </c>
      <c r="B195" s="358">
        <v>1031.0</v>
      </c>
      <c r="C195" s="358" t="s">
        <v>2507</v>
      </c>
      <c r="D195" s="359">
        <v>24211.0</v>
      </c>
      <c r="E195" s="358">
        <v>6.51080599E8</v>
      </c>
      <c r="F195" s="358" t="s">
        <v>2508</v>
      </c>
      <c r="G195" s="360" t="s">
        <v>1058</v>
      </c>
      <c r="H195" s="358" t="s">
        <v>2509</v>
      </c>
      <c r="I195" s="362" t="s">
        <v>2510</v>
      </c>
      <c r="J195" s="358">
        <v>7.8657911E7</v>
      </c>
      <c r="K195" s="358" t="s">
        <v>2511</v>
      </c>
      <c r="L195" s="358" t="s">
        <v>2512</v>
      </c>
      <c r="M195" s="358" t="s">
        <v>1063</v>
      </c>
      <c r="N195" s="358" t="s">
        <v>2513</v>
      </c>
      <c r="O195" s="358" t="s">
        <v>2514</v>
      </c>
    </row>
    <row r="196">
      <c r="A196" s="358" t="s">
        <v>2515</v>
      </c>
      <c r="B196" s="358">
        <v>1668.0</v>
      </c>
      <c r="C196" s="358" t="s">
        <v>1098</v>
      </c>
      <c r="D196" s="359">
        <v>35726.0</v>
      </c>
      <c r="E196" s="358">
        <v>6.32969672E8</v>
      </c>
      <c r="F196" s="358" t="s">
        <v>2516</v>
      </c>
      <c r="G196" s="360" t="s">
        <v>1058</v>
      </c>
      <c r="H196" s="358" t="s">
        <v>2517</v>
      </c>
      <c r="I196" s="362" t="s">
        <v>2518</v>
      </c>
      <c r="J196" s="358">
        <v>9.5306145E7</v>
      </c>
      <c r="K196" s="358" t="s">
        <v>2519</v>
      </c>
      <c r="L196" s="358" t="s">
        <v>2520</v>
      </c>
      <c r="M196" s="358" t="s">
        <v>1063</v>
      </c>
      <c r="N196" s="358" t="s">
        <v>2521</v>
      </c>
      <c r="O196" s="358" t="s">
        <v>2522</v>
      </c>
    </row>
    <row r="197">
      <c r="A197" s="358" t="s">
        <v>2523</v>
      </c>
      <c r="B197" s="358">
        <v>388.0</v>
      </c>
      <c r="C197" s="358" t="s">
        <v>2524</v>
      </c>
      <c r="D197" s="359">
        <v>24100.0</v>
      </c>
      <c r="E197" s="358">
        <v>4.9573206E8</v>
      </c>
      <c r="F197" s="358" t="s">
        <v>2525</v>
      </c>
      <c r="G197" s="360" t="s">
        <v>1058</v>
      </c>
      <c r="H197" s="358" t="s">
        <v>2526</v>
      </c>
      <c r="I197" s="362" t="s">
        <v>2527</v>
      </c>
      <c r="J197" s="358">
        <v>6.8106637E7</v>
      </c>
      <c r="K197" s="358" t="s">
        <v>2528</v>
      </c>
      <c r="L197" s="358" t="s">
        <v>2529</v>
      </c>
      <c r="M197" s="358" t="s">
        <v>1063</v>
      </c>
      <c r="N197" s="358" t="s">
        <v>2530</v>
      </c>
      <c r="O197" s="358" t="s">
        <v>2312</v>
      </c>
    </row>
    <row r="198">
      <c r="A198" s="358" t="s">
        <v>2531</v>
      </c>
      <c r="B198" s="358">
        <v>1470.0</v>
      </c>
      <c r="C198" s="358" t="s">
        <v>2532</v>
      </c>
      <c r="D198" s="359">
        <v>30824.0</v>
      </c>
      <c r="E198" s="358">
        <v>3.31047652E8</v>
      </c>
      <c r="F198" s="358" t="s">
        <v>2533</v>
      </c>
      <c r="G198" s="360" t="s">
        <v>1058</v>
      </c>
      <c r="H198" s="358" t="s">
        <v>2534</v>
      </c>
      <c r="I198" s="362" t="s">
        <v>2535</v>
      </c>
      <c r="J198" s="358">
        <v>8.93748E7</v>
      </c>
      <c r="K198" s="358" t="s">
        <v>2536</v>
      </c>
      <c r="L198" s="358" t="s">
        <v>2537</v>
      </c>
      <c r="M198" s="358" t="s">
        <v>1063</v>
      </c>
      <c r="N198" s="358" t="s">
        <v>2538</v>
      </c>
      <c r="O198" s="358" t="s">
        <v>2539</v>
      </c>
    </row>
    <row r="199">
      <c r="A199" s="358" t="s">
        <v>2540</v>
      </c>
      <c r="B199" s="358">
        <v>1676.0</v>
      </c>
      <c r="C199" s="358" t="s">
        <v>2541</v>
      </c>
      <c r="D199" s="359">
        <v>27557.0</v>
      </c>
      <c r="E199" s="358">
        <v>4.34033303E8</v>
      </c>
      <c r="F199" s="358" t="s">
        <v>2542</v>
      </c>
      <c r="G199" s="360" t="s">
        <v>1058</v>
      </c>
      <c r="H199" s="358" t="s">
        <v>2543</v>
      </c>
      <c r="I199" s="361" t="s">
        <v>2544</v>
      </c>
      <c r="J199" s="358">
        <v>9.5773681E7</v>
      </c>
      <c r="K199" s="358" t="s">
        <v>2545</v>
      </c>
      <c r="L199" s="358" t="s">
        <v>2546</v>
      </c>
      <c r="M199" s="358" t="s">
        <v>1063</v>
      </c>
      <c r="N199" s="358" t="s">
        <v>2547</v>
      </c>
      <c r="O199" s="358" t="s">
        <v>1182</v>
      </c>
    </row>
    <row r="200">
      <c r="A200" s="358" t="s">
        <v>2548</v>
      </c>
      <c r="B200" s="358">
        <v>385.0</v>
      </c>
      <c r="C200" s="358" t="s">
        <v>2184</v>
      </c>
      <c r="D200" s="359">
        <v>26427.0</v>
      </c>
      <c r="E200" s="358">
        <v>4.73704067E8</v>
      </c>
      <c r="F200" s="358" t="s">
        <v>2549</v>
      </c>
      <c r="G200" s="360" t="s">
        <v>1058</v>
      </c>
      <c r="H200" s="358" t="s">
        <v>2550</v>
      </c>
      <c r="I200" s="361" t="s">
        <v>2551</v>
      </c>
      <c r="J200" s="358">
        <v>6.8155751E7</v>
      </c>
      <c r="K200" s="358" t="s">
        <v>2552</v>
      </c>
      <c r="L200" s="358" t="s">
        <v>2553</v>
      </c>
      <c r="M200" s="358" t="s">
        <v>1063</v>
      </c>
      <c r="N200" s="358" t="s">
        <v>2554</v>
      </c>
      <c r="O200" s="358" t="s">
        <v>1529</v>
      </c>
    </row>
    <row r="201">
      <c r="A201" s="358" t="s">
        <v>2555</v>
      </c>
      <c r="B201" s="358">
        <v>733.0</v>
      </c>
      <c r="C201" s="358" t="s">
        <v>2556</v>
      </c>
      <c r="D201" s="359">
        <v>29468.0</v>
      </c>
      <c r="E201" s="358">
        <v>4.99036918E8</v>
      </c>
      <c r="F201" s="358" t="s">
        <v>2434</v>
      </c>
      <c r="G201" s="360" t="s">
        <v>1058</v>
      </c>
      <c r="H201" s="358" t="s">
        <v>2435</v>
      </c>
      <c r="I201" s="362" t="s">
        <v>2557</v>
      </c>
      <c r="J201" s="358">
        <v>7.4028456E7</v>
      </c>
      <c r="K201" s="358" t="s">
        <v>2558</v>
      </c>
      <c r="L201" s="358" t="s">
        <v>2559</v>
      </c>
      <c r="M201" s="358" t="s">
        <v>1063</v>
      </c>
      <c r="N201" s="358" t="s">
        <v>2560</v>
      </c>
      <c r="O201" s="358" t="s">
        <v>1197</v>
      </c>
    </row>
    <row r="202">
      <c r="A202" s="358" t="s">
        <v>2561</v>
      </c>
      <c r="B202" s="358">
        <v>1302.0</v>
      </c>
      <c r="C202" s="358" t="s">
        <v>2524</v>
      </c>
      <c r="D202" s="359">
        <v>34360.0</v>
      </c>
      <c r="E202" s="358">
        <v>4.23084835E8</v>
      </c>
      <c r="F202" s="358" t="s">
        <v>2562</v>
      </c>
      <c r="G202" s="360" t="s">
        <v>1058</v>
      </c>
      <c r="H202" s="358" t="s">
        <v>2563</v>
      </c>
      <c r="I202" s="362" t="s">
        <v>2564</v>
      </c>
      <c r="J202" s="358">
        <v>8.5527017E7</v>
      </c>
      <c r="K202" s="358" t="s">
        <v>2565</v>
      </c>
      <c r="L202" s="358" t="s">
        <v>2566</v>
      </c>
      <c r="M202" s="358" t="s">
        <v>1063</v>
      </c>
      <c r="N202" s="358" t="s">
        <v>2567</v>
      </c>
      <c r="O202" s="358" t="s">
        <v>2568</v>
      </c>
    </row>
    <row r="203">
      <c r="A203" s="358" t="s">
        <v>2569</v>
      </c>
      <c r="B203" s="358">
        <v>865.0</v>
      </c>
      <c r="C203" s="358" t="s">
        <v>2570</v>
      </c>
      <c r="D203" s="359">
        <v>23788.0</v>
      </c>
      <c r="E203" s="358">
        <v>6.71571618E8</v>
      </c>
      <c r="F203" s="358" t="s">
        <v>2571</v>
      </c>
      <c r="G203" s="358" t="s">
        <v>1574</v>
      </c>
      <c r="H203" s="358" t="s">
        <v>2572</v>
      </c>
      <c r="I203" s="362" t="s">
        <v>2573</v>
      </c>
      <c r="J203" s="358">
        <v>7.5731398E7</v>
      </c>
      <c r="K203" s="358" t="s">
        <v>2574</v>
      </c>
      <c r="L203" s="358" t="s">
        <v>2575</v>
      </c>
      <c r="M203" s="358" t="s">
        <v>1063</v>
      </c>
      <c r="N203" s="358" t="s">
        <v>2576</v>
      </c>
      <c r="O203" s="358" t="s">
        <v>2577</v>
      </c>
    </row>
    <row r="204">
      <c r="A204" s="358" t="s">
        <v>2578</v>
      </c>
      <c r="B204" s="358">
        <v>631.0</v>
      </c>
      <c r="C204" s="358" t="s">
        <v>1230</v>
      </c>
      <c r="D204" s="359">
        <v>29568.0</v>
      </c>
      <c r="E204" s="358">
        <v>2.84234345E8</v>
      </c>
      <c r="F204" s="358" t="s">
        <v>2579</v>
      </c>
      <c r="G204" s="360" t="s">
        <v>1058</v>
      </c>
      <c r="H204" s="358" t="s">
        <v>2580</v>
      </c>
      <c r="I204" s="362" t="s">
        <v>2581</v>
      </c>
      <c r="J204" s="358">
        <v>7.2820209E7</v>
      </c>
      <c r="K204" s="358" t="s">
        <v>2582</v>
      </c>
      <c r="L204" s="358" t="s">
        <v>2583</v>
      </c>
      <c r="M204" s="358" t="s">
        <v>1063</v>
      </c>
      <c r="N204" s="358" t="s">
        <v>2584</v>
      </c>
      <c r="O204" s="358" t="s">
        <v>2585</v>
      </c>
    </row>
    <row r="205">
      <c r="A205" s="358" t="s">
        <v>2586</v>
      </c>
      <c r="B205" s="358">
        <v>1490.0</v>
      </c>
      <c r="C205" s="358" t="s">
        <v>2587</v>
      </c>
      <c r="D205" s="359">
        <v>26348.0</v>
      </c>
      <c r="E205" s="358">
        <v>3.93156795E8</v>
      </c>
      <c r="F205" s="358" t="s">
        <v>2588</v>
      </c>
      <c r="G205" s="358" t="s">
        <v>1574</v>
      </c>
      <c r="H205" s="358" t="s">
        <v>2589</v>
      </c>
      <c r="I205" s="362" t="s">
        <v>2590</v>
      </c>
      <c r="J205" s="358">
        <v>9.0445406E7</v>
      </c>
      <c r="K205" s="358" t="s">
        <v>2591</v>
      </c>
      <c r="L205" s="358" t="s">
        <v>2592</v>
      </c>
      <c r="M205" s="358" t="s">
        <v>1063</v>
      </c>
      <c r="N205" s="358" t="s">
        <v>2593</v>
      </c>
      <c r="O205" s="358" t="s">
        <v>2594</v>
      </c>
    </row>
    <row r="206">
      <c r="A206" s="358" t="s">
        <v>2595</v>
      </c>
      <c r="B206" s="358">
        <v>180.0</v>
      </c>
      <c r="C206" s="358" t="s">
        <v>2596</v>
      </c>
      <c r="D206" s="359">
        <v>27945.0</v>
      </c>
      <c r="E206" s="358">
        <v>6.05964427E8</v>
      </c>
      <c r="F206" s="358" t="s">
        <v>2597</v>
      </c>
      <c r="G206" s="358" t="s">
        <v>2168</v>
      </c>
      <c r="H206" s="358" t="s">
        <v>2598</v>
      </c>
      <c r="I206" s="362" t="s">
        <v>2599</v>
      </c>
      <c r="J206" s="358">
        <v>5.2067971E7</v>
      </c>
      <c r="K206" s="358" t="s">
        <v>2600</v>
      </c>
      <c r="L206" s="358" t="s">
        <v>2601</v>
      </c>
      <c r="M206" s="358" t="s">
        <v>1063</v>
      </c>
      <c r="N206" s="358" t="s">
        <v>2602</v>
      </c>
      <c r="O206" s="358" t="s">
        <v>2603</v>
      </c>
    </row>
    <row r="207">
      <c r="A207" s="358" t="s">
        <v>2604</v>
      </c>
      <c r="B207" s="358">
        <v>894.0</v>
      </c>
      <c r="C207" s="358" t="s">
        <v>1222</v>
      </c>
      <c r="D207" s="359">
        <v>31260.0</v>
      </c>
      <c r="E207" s="358">
        <v>6.5554942E8</v>
      </c>
      <c r="F207" s="358" t="s">
        <v>2605</v>
      </c>
      <c r="G207" s="360" t="s">
        <v>1058</v>
      </c>
      <c r="H207" s="358" t="s">
        <v>2606</v>
      </c>
      <c r="I207" s="361" t="s">
        <v>2607</v>
      </c>
      <c r="J207" s="358">
        <v>7.7032551E7</v>
      </c>
      <c r="K207" s="358" t="s">
        <v>2608</v>
      </c>
      <c r="L207" s="358" t="s">
        <v>2609</v>
      </c>
      <c r="M207" s="358" t="s">
        <v>1063</v>
      </c>
      <c r="N207" s="358" t="s">
        <v>2610</v>
      </c>
      <c r="O207" s="358" t="s">
        <v>2611</v>
      </c>
    </row>
    <row r="208">
      <c r="A208" s="358" t="s">
        <v>2612</v>
      </c>
      <c r="B208" s="358">
        <v>1571.0</v>
      </c>
      <c r="C208" s="358" t="s">
        <v>1419</v>
      </c>
      <c r="D208" s="359">
        <v>28072.0</v>
      </c>
      <c r="E208" s="358">
        <v>2.64325229E8</v>
      </c>
      <c r="F208" s="358" t="s">
        <v>2613</v>
      </c>
      <c r="G208" s="360" t="s">
        <v>1058</v>
      </c>
      <c r="H208" s="358" t="s">
        <v>2614</v>
      </c>
      <c r="I208" s="362" t="s">
        <v>2615</v>
      </c>
      <c r="J208" s="358">
        <v>6.2760858E7</v>
      </c>
      <c r="K208" s="358" t="s">
        <v>2616</v>
      </c>
      <c r="L208" s="358" t="s">
        <v>2617</v>
      </c>
      <c r="M208" s="358" t="s">
        <v>1063</v>
      </c>
      <c r="N208" s="358" t="s">
        <v>2618</v>
      </c>
      <c r="O208" s="358" t="s">
        <v>2619</v>
      </c>
    </row>
    <row r="209">
      <c r="A209" s="358" t="s">
        <v>2620</v>
      </c>
      <c r="B209" s="358">
        <v>1694.0</v>
      </c>
      <c r="C209" s="358" t="s">
        <v>1222</v>
      </c>
      <c r="D209" s="359">
        <v>35941.0</v>
      </c>
      <c r="E209" s="358">
        <v>6.78671916E8</v>
      </c>
      <c r="F209" s="358" t="s">
        <v>2621</v>
      </c>
      <c r="G209" s="358" t="s">
        <v>1574</v>
      </c>
      <c r="H209" s="358" t="s">
        <v>2622</v>
      </c>
      <c r="I209" s="362" t="s">
        <v>2623</v>
      </c>
      <c r="J209" s="358">
        <v>7.2035749E7</v>
      </c>
      <c r="K209" s="358" t="s">
        <v>2624</v>
      </c>
      <c r="L209" s="358" t="s">
        <v>2625</v>
      </c>
      <c r="M209" s="358" t="s">
        <v>1063</v>
      </c>
      <c r="N209" s="358" t="s">
        <v>2626</v>
      </c>
      <c r="O209" s="358" t="s">
        <v>2627</v>
      </c>
    </row>
    <row r="210">
      <c r="A210" s="358" t="s">
        <v>2628</v>
      </c>
      <c r="B210" s="358">
        <v>635.0</v>
      </c>
      <c r="C210" s="358" t="s">
        <v>2629</v>
      </c>
      <c r="D210" s="359">
        <v>33915.0</v>
      </c>
      <c r="E210" s="358">
        <v>3.7103655E8</v>
      </c>
      <c r="F210" s="358" t="s">
        <v>2630</v>
      </c>
      <c r="G210" s="358" t="s">
        <v>2631</v>
      </c>
      <c r="H210" s="358" t="s">
        <v>2632</v>
      </c>
      <c r="I210" s="362" t="s">
        <v>2633</v>
      </c>
      <c r="J210" s="358">
        <v>7.2609516E7</v>
      </c>
      <c r="K210" s="358" t="s">
        <v>2634</v>
      </c>
      <c r="L210" s="358" t="s">
        <v>2635</v>
      </c>
      <c r="M210" s="358" t="s">
        <v>1063</v>
      </c>
      <c r="N210" s="358" t="s">
        <v>2636</v>
      </c>
      <c r="O210" s="358" t="s">
        <v>1080</v>
      </c>
    </row>
    <row r="211">
      <c r="A211" s="358" t="s">
        <v>2637</v>
      </c>
      <c r="B211" s="358">
        <v>1102.0</v>
      </c>
      <c r="C211" s="358" t="s">
        <v>139</v>
      </c>
      <c r="D211" s="359">
        <v>31509.0</v>
      </c>
      <c r="E211" s="358">
        <v>4.04758216E8</v>
      </c>
      <c r="F211" s="358" t="s">
        <v>2638</v>
      </c>
      <c r="G211" s="360" t="s">
        <v>1058</v>
      </c>
      <c r="H211" s="358" t="s">
        <v>2639</v>
      </c>
      <c r="I211" s="362" t="s">
        <v>2640</v>
      </c>
      <c r="J211" s="358">
        <v>8.1958358E7</v>
      </c>
      <c r="K211" s="358" t="s">
        <v>2641</v>
      </c>
      <c r="L211" s="358" t="s">
        <v>2642</v>
      </c>
      <c r="M211" s="358" t="s">
        <v>1063</v>
      </c>
      <c r="N211" s="358" t="s">
        <v>2643</v>
      </c>
      <c r="O211" s="358" t="s">
        <v>2644</v>
      </c>
    </row>
    <row r="212">
      <c r="A212" s="358" t="s">
        <v>2645</v>
      </c>
      <c r="B212" s="358">
        <v>1262.0</v>
      </c>
      <c r="C212" s="358" t="s">
        <v>2646</v>
      </c>
      <c r="D212" s="359">
        <v>32097.0</v>
      </c>
      <c r="E212" s="358">
        <v>2.64466238E8</v>
      </c>
      <c r="F212" s="358" t="s">
        <v>2647</v>
      </c>
      <c r="G212" s="360" t="s">
        <v>1058</v>
      </c>
      <c r="H212" s="358" t="s">
        <v>2648</v>
      </c>
      <c r="I212" s="362" t="s">
        <v>2649</v>
      </c>
      <c r="J212" s="358">
        <v>8.5306517E7</v>
      </c>
      <c r="K212" s="358" t="s">
        <v>2650</v>
      </c>
      <c r="L212" s="358" t="s">
        <v>2651</v>
      </c>
      <c r="M212" s="358" t="s">
        <v>1063</v>
      </c>
      <c r="N212" s="358" t="s">
        <v>2652</v>
      </c>
      <c r="O212" s="358" t="s">
        <v>1144</v>
      </c>
    </row>
    <row r="213">
      <c r="A213" s="358" t="s">
        <v>2653</v>
      </c>
      <c r="B213" s="358">
        <v>1690.0</v>
      </c>
      <c r="C213" s="358" t="s">
        <v>139</v>
      </c>
      <c r="D213" s="359">
        <v>37051.0</v>
      </c>
      <c r="E213" s="358">
        <v>2.4207336E8</v>
      </c>
      <c r="F213" s="358" t="s">
        <v>2654</v>
      </c>
      <c r="G213" s="358" t="s">
        <v>2655</v>
      </c>
      <c r="H213" s="358" t="s">
        <v>2656</v>
      </c>
      <c r="I213" s="362" t="s">
        <v>2657</v>
      </c>
      <c r="J213" s="358">
        <v>9.3068913E7</v>
      </c>
      <c r="K213" s="358" t="s">
        <v>2658</v>
      </c>
      <c r="L213" s="358" t="s">
        <v>2659</v>
      </c>
      <c r="M213" s="358" t="s">
        <v>1151</v>
      </c>
      <c r="N213" s="358" t="s">
        <v>2660</v>
      </c>
      <c r="O213" s="358" t="s">
        <v>2661</v>
      </c>
    </row>
    <row r="214">
      <c r="A214" s="358" t="s">
        <v>2662</v>
      </c>
      <c r="B214" s="358">
        <v>1553.0</v>
      </c>
      <c r="C214" s="358" t="s">
        <v>2663</v>
      </c>
      <c r="D214" s="359">
        <v>27242.0</v>
      </c>
      <c r="E214" s="358">
        <v>5.10808682E8</v>
      </c>
      <c r="F214" s="358" t="s">
        <v>2664</v>
      </c>
      <c r="G214" s="358" t="s">
        <v>2665</v>
      </c>
      <c r="H214" s="358" t="s">
        <v>2666</v>
      </c>
      <c r="I214" s="362" t="s">
        <v>2667</v>
      </c>
      <c r="J214" s="358">
        <v>9.0779282E7</v>
      </c>
      <c r="K214" s="358" t="s">
        <v>2668</v>
      </c>
      <c r="L214" s="358" t="s">
        <v>2669</v>
      </c>
      <c r="M214" s="358" t="s">
        <v>1063</v>
      </c>
      <c r="N214" s="358" t="s">
        <v>2670</v>
      </c>
      <c r="O214" s="358" t="s">
        <v>2671</v>
      </c>
    </row>
    <row r="215">
      <c r="A215" s="358" t="s">
        <v>2672</v>
      </c>
      <c r="B215" s="358">
        <v>1334.0</v>
      </c>
      <c r="C215" s="358" t="s">
        <v>1255</v>
      </c>
      <c r="D215" s="359">
        <v>29335.0</v>
      </c>
      <c r="E215" s="358">
        <v>5.93058252E8</v>
      </c>
      <c r="F215" s="358" t="s">
        <v>2673</v>
      </c>
      <c r="G215" s="360" t="s">
        <v>1058</v>
      </c>
      <c r="H215" s="358" t="s">
        <v>2674</v>
      </c>
      <c r="I215" s="362" t="s">
        <v>2675</v>
      </c>
      <c r="J215" s="358">
        <v>8.6460854E7</v>
      </c>
      <c r="K215" s="358" t="s">
        <v>2676</v>
      </c>
      <c r="L215" s="358" t="s">
        <v>2677</v>
      </c>
      <c r="M215" s="358" t="s">
        <v>1063</v>
      </c>
      <c r="N215" s="358" t="s">
        <v>2678</v>
      </c>
      <c r="O215" s="358" t="s">
        <v>1417</v>
      </c>
    </row>
    <row r="216">
      <c r="A216" s="358" t="s">
        <v>2679</v>
      </c>
      <c r="B216" s="358">
        <v>791.0</v>
      </c>
      <c r="C216" s="358" t="s">
        <v>1222</v>
      </c>
      <c r="D216" s="359">
        <v>27846.0</v>
      </c>
      <c r="E216" s="358">
        <v>2.68446404E8</v>
      </c>
      <c r="F216" s="358" t="s">
        <v>2680</v>
      </c>
      <c r="G216" s="360" t="s">
        <v>1058</v>
      </c>
      <c r="H216" s="358" t="s">
        <v>2681</v>
      </c>
      <c r="I216" s="362" t="s">
        <v>2682</v>
      </c>
      <c r="J216" s="358">
        <v>7.4784846E7</v>
      </c>
      <c r="K216" s="358" t="s">
        <v>2683</v>
      </c>
      <c r="L216" s="358" t="s">
        <v>2684</v>
      </c>
      <c r="M216" s="358" t="s">
        <v>1063</v>
      </c>
      <c r="N216" s="358" t="s">
        <v>2685</v>
      </c>
      <c r="O216" s="358" t="s">
        <v>2686</v>
      </c>
    </row>
    <row r="217">
      <c r="A217" s="358" t="s">
        <v>2687</v>
      </c>
      <c r="B217" s="358">
        <v>871.0</v>
      </c>
      <c r="C217" s="358" t="s">
        <v>2688</v>
      </c>
      <c r="D217" s="359">
        <v>29222.0</v>
      </c>
      <c r="E217" s="358">
        <v>4.85699989E8</v>
      </c>
      <c r="F217" s="358" t="s">
        <v>2689</v>
      </c>
      <c r="G217" s="360" t="s">
        <v>1058</v>
      </c>
      <c r="H217" s="358" t="s">
        <v>2690</v>
      </c>
      <c r="I217" s="362" t="s">
        <v>2691</v>
      </c>
      <c r="J217" s="358">
        <v>7.6068218E7</v>
      </c>
      <c r="K217" s="358" t="s">
        <v>2692</v>
      </c>
      <c r="L217" s="358" t="s">
        <v>2693</v>
      </c>
      <c r="M217" s="358" t="s">
        <v>1063</v>
      </c>
      <c r="N217" s="358" t="s">
        <v>2694</v>
      </c>
      <c r="O217" s="358" t="s">
        <v>2695</v>
      </c>
    </row>
    <row r="218">
      <c r="A218" s="358" t="s">
        <v>2696</v>
      </c>
      <c r="B218" s="358">
        <v>1719.0</v>
      </c>
      <c r="C218" s="358" t="s">
        <v>2697</v>
      </c>
      <c r="D218" s="359">
        <v>28092.0</v>
      </c>
      <c r="E218" s="358">
        <v>3.88674568E8</v>
      </c>
      <c r="F218" s="358" t="s">
        <v>2698</v>
      </c>
      <c r="G218" s="358" t="s">
        <v>1380</v>
      </c>
      <c r="H218" s="358" t="s">
        <v>2699</v>
      </c>
      <c r="I218" s="362" t="s">
        <v>2700</v>
      </c>
      <c r="J218" s="358">
        <v>9.7769134E7</v>
      </c>
      <c r="K218" s="358" t="s">
        <v>2701</v>
      </c>
      <c r="L218" s="358" t="s">
        <v>2702</v>
      </c>
      <c r="M218" s="358" t="s">
        <v>1063</v>
      </c>
      <c r="N218" s="358" t="s">
        <v>2703</v>
      </c>
      <c r="O218" s="358" t="s">
        <v>2704</v>
      </c>
    </row>
    <row r="219">
      <c r="A219" s="358" t="s">
        <v>2705</v>
      </c>
      <c r="B219" s="358">
        <v>1688.0</v>
      </c>
      <c r="C219" s="358" t="s">
        <v>1222</v>
      </c>
      <c r="D219" s="359">
        <v>34549.0</v>
      </c>
      <c r="E219" s="358">
        <v>5.76081206E8</v>
      </c>
      <c r="F219" s="358" t="s">
        <v>2706</v>
      </c>
      <c r="G219" s="358" t="s">
        <v>2391</v>
      </c>
      <c r="H219" s="358" t="s">
        <v>2707</v>
      </c>
      <c r="I219" s="362" t="s">
        <v>2708</v>
      </c>
      <c r="J219" s="358">
        <v>9.6398043E7</v>
      </c>
      <c r="K219" s="358" t="s">
        <v>2709</v>
      </c>
      <c r="L219" s="358" t="s">
        <v>2710</v>
      </c>
      <c r="M219" s="358" t="s">
        <v>1063</v>
      </c>
      <c r="N219" s="358" t="s">
        <v>2711</v>
      </c>
      <c r="O219" s="358" t="s">
        <v>2096</v>
      </c>
    </row>
    <row r="220">
      <c r="A220" s="358" t="s">
        <v>2712</v>
      </c>
      <c r="B220" s="358">
        <v>1700.0</v>
      </c>
      <c r="C220" s="358" t="s">
        <v>2713</v>
      </c>
      <c r="D220" s="359">
        <v>35405.0</v>
      </c>
      <c r="E220" s="358">
        <v>4.77812983E8</v>
      </c>
      <c r="F220" s="358" t="s">
        <v>2714</v>
      </c>
      <c r="G220" s="358" t="s">
        <v>2715</v>
      </c>
      <c r="H220" s="358" t="s">
        <v>2716</v>
      </c>
      <c r="I220" s="362" t="s">
        <v>2717</v>
      </c>
      <c r="J220" s="358">
        <v>9.6583606E7</v>
      </c>
      <c r="K220" s="358" t="s">
        <v>2718</v>
      </c>
      <c r="L220" s="358" t="s">
        <v>2719</v>
      </c>
      <c r="M220" s="358" t="s">
        <v>1063</v>
      </c>
      <c r="N220" s="358" t="s">
        <v>2720</v>
      </c>
      <c r="O220" s="358" t="s">
        <v>2721</v>
      </c>
    </row>
    <row r="221">
      <c r="A221" s="358" t="s">
        <v>2722</v>
      </c>
      <c r="B221" s="358">
        <v>107.0</v>
      </c>
      <c r="C221" s="358" t="s">
        <v>1910</v>
      </c>
      <c r="D221" s="359">
        <v>28885.0</v>
      </c>
      <c r="E221" s="358">
        <v>4.55754664E8</v>
      </c>
      <c r="F221" s="358" t="s">
        <v>2723</v>
      </c>
      <c r="G221" s="358" t="s">
        <v>2724</v>
      </c>
      <c r="H221" s="358" t="s">
        <v>2725</v>
      </c>
      <c r="I221" s="362" t="s">
        <v>2726</v>
      </c>
      <c r="J221" s="358">
        <v>5.6002734E7</v>
      </c>
      <c r="K221" s="358" t="s">
        <v>2727</v>
      </c>
      <c r="L221" s="358" t="s">
        <v>2728</v>
      </c>
      <c r="M221" s="358" t="s">
        <v>1063</v>
      </c>
      <c r="N221" s="358" t="s">
        <v>2729</v>
      </c>
      <c r="O221" s="358" t="s">
        <v>1771</v>
      </c>
    </row>
    <row r="222">
      <c r="A222" s="358" t="s">
        <v>2730</v>
      </c>
      <c r="B222" s="358">
        <v>1702.0</v>
      </c>
      <c r="C222" s="358" t="s">
        <v>1910</v>
      </c>
      <c r="D222" s="359">
        <v>30783.0</v>
      </c>
      <c r="E222" s="358">
        <v>2.6481382E8</v>
      </c>
      <c r="F222" s="358" t="s">
        <v>2121</v>
      </c>
      <c r="G222" s="360" t="s">
        <v>1058</v>
      </c>
      <c r="H222" s="358" t="s">
        <v>2122</v>
      </c>
      <c r="I222" s="362" t="s">
        <v>2731</v>
      </c>
      <c r="J222" s="358">
        <v>9.696613E7</v>
      </c>
      <c r="K222" s="358" t="s">
        <v>2732</v>
      </c>
      <c r="L222" s="358" t="s">
        <v>2733</v>
      </c>
      <c r="M222" s="358" t="s">
        <v>1151</v>
      </c>
      <c r="N222" s="358" t="s">
        <v>2734</v>
      </c>
      <c r="O222" s="358" t="s">
        <v>2735</v>
      </c>
    </row>
    <row r="223">
      <c r="A223" s="358" t="s">
        <v>2736</v>
      </c>
      <c r="B223" s="358">
        <v>244.0</v>
      </c>
      <c r="C223" s="358" t="s">
        <v>1115</v>
      </c>
      <c r="D223" s="359">
        <v>33010.0</v>
      </c>
      <c r="E223" s="358">
        <v>6.30380272E8</v>
      </c>
      <c r="F223" s="358" t="s">
        <v>2737</v>
      </c>
      <c r="G223" s="360" t="s">
        <v>1058</v>
      </c>
      <c r="H223" s="358" t="s">
        <v>2738</v>
      </c>
      <c r="I223" s="362" t="s">
        <v>2739</v>
      </c>
      <c r="J223" s="358">
        <v>6.5306368E7</v>
      </c>
      <c r="K223" s="358" t="s">
        <v>2740</v>
      </c>
      <c r="L223" s="358" t="s">
        <v>2741</v>
      </c>
      <c r="M223" s="358" t="s">
        <v>1063</v>
      </c>
      <c r="N223" s="358" t="s">
        <v>2742</v>
      </c>
      <c r="O223" s="358" t="s">
        <v>2743</v>
      </c>
    </row>
    <row r="224">
      <c r="A224" s="358" t="s">
        <v>2744</v>
      </c>
      <c r="B224" s="358">
        <v>1735.0</v>
      </c>
      <c r="C224" s="358" t="s">
        <v>1230</v>
      </c>
      <c r="D224" s="359">
        <v>32297.0</v>
      </c>
      <c r="E224" s="358">
        <v>4.76774159E8</v>
      </c>
      <c r="F224" s="358" t="s">
        <v>2745</v>
      </c>
      <c r="G224" s="358" t="s">
        <v>1574</v>
      </c>
      <c r="H224" s="358" t="s">
        <v>2746</v>
      </c>
      <c r="I224" s="362" t="s">
        <v>2747</v>
      </c>
      <c r="J224" s="358">
        <v>9.7640085E7</v>
      </c>
      <c r="K224" s="358" t="s">
        <v>2748</v>
      </c>
      <c r="L224" s="358" t="s">
        <v>2749</v>
      </c>
      <c r="M224" s="358" t="s">
        <v>1063</v>
      </c>
      <c r="N224" s="358" t="s">
        <v>2750</v>
      </c>
      <c r="O224" s="358" t="s">
        <v>1236</v>
      </c>
    </row>
    <row r="225">
      <c r="A225" s="358" t="s">
        <v>2751</v>
      </c>
      <c r="B225" s="358">
        <v>857.0</v>
      </c>
      <c r="C225" s="358" t="s">
        <v>1962</v>
      </c>
      <c r="D225" s="359">
        <v>32448.0</v>
      </c>
      <c r="E225" s="358">
        <v>4.53672929E8</v>
      </c>
      <c r="F225" s="358" t="s">
        <v>2228</v>
      </c>
      <c r="G225" s="360" t="s">
        <v>1058</v>
      </c>
      <c r="H225" s="358" t="s">
        <v>1752</v>
      </c>
      <c r="I225" s="362" t="s">
        <v>2752</v>
      </c>
      <c r="J225" s="358">
        <v>7.6018776E7</v>
      </c>
      <c r="K225" s="358" t="s">
        <v>2753</v>
      </c>
      <c r="L225" s="358" t="s">
        <v>2754</v>
      </c>
      <c r="M225" s="358" t="s">
        <v>1063</v>
      </c>
      <c r="N225" s="358" t="s">
        <v>2755</v>
      </c>
      <c r="O225" s="358" t="s">
        <v>2233</v>
      </c>
    </row>
    <row r="226">
      <c r="A226" s="358" t="s">
        <v>2756</v>
      </c>
      <c r="B226" s="358">
        <v>1106.0</v>
      </c>
      <c r="C226" s="358" t="s">
        <v>2757</v>
      </c>
      <c r="D226" s="359">
        <v>30028.0</v>
      </c>
      <c r="E226" s="358">
        <v>6.04884333E8</v>
      </c>
      <c r="F226" s="358" t="s">
        <v>2758</v>
      </c>
      <c r="G226" s="360" t="s">
        <v>1058</v>
      </c>
      <c r="H226" s="358" t="s">
        <v>2759</v>
      </c>
      <c r="I226" s="362" t="s">
        <v>2760</v>
      </c>
      <c r="J226" s="358">
        <v>8.25183E7</v>
      </c>
      <c r="K226" s="358" t="s">
        <v>2761</v>
      </c>
      <c r="L226" s="358" t="s">
        <v>2762</v>
      </c>
      <c r="M226" s="358" t="s">
        <v>1063</v>
      </c>
      <c r="N226" s="358" t="s">
        <v>2763</v>
      </c>
      <c r="O226" s="358" t="s">
        <v>2764</v>
      </c>
    </row>
    <row r="227">
      <c r="A227" s="358" t="s">
        <v>2765</v>
      </c>
      <c r="B227" s="358">
        <v>643.0</v>
      </c>
      <c r="C227" s="358" t="s">
        <v>2766</v>
      </c>
      <c r="D227" s="359">
        <v>29507.0</v>
      </c>
      <c r="E227" s="358">
        <v>3.0682414E8</v>
      </c>
      <c r="F227" s="358" t="s">
        <v>2767</v>
      </c>
      <c r="G227" s="358" t="s">
        <v>2168</v>
      </c>
      <c r="H227" s="358" t="s">
        <v>2768</v>
      </c>
      <c r="I227" s="362" t="s">
        <v>2769</v>
      </c>
      <c r="J227" s="358">
        <v>7.266608E7</v>
      </c>
      <c r="K227" s="358" t="s">
        <v>1061</v>
      </c>
      <c r="L227" s="358" t="s">
        <v>2770</v>
      </c>
      <c r="M227" s="358" t="s">
        <v>1063</v>
      </c>
      <c r="N227" s="358" t="s">
        <v>2771</v>
      </c>
      <c r="O227" s="358" t="s">
        <v>1080</v>
      </c>
    </row>
    <row r="228">
      <c r="A228" s="358" t="s">
        <v>2772</v>
      </c>
      <c r="B228" s="358">
        <v>1324.0</v>
      </c>
      <c r="C228" s="358" t="s">
        <v>1781</v>
      </c>
      <c r="D228" s="359">
        <v>32375.0</v>
      </c>
      <c r="E228" s="358">
        <v>5.45480206E8</v>
      </c>
      <c r="F228" s="358" t="s">
        <v>2773</v>
      </c>
      <c r="G228" s="358" t="s">
        <v>2774</v>
      </c>
      <c r="H228" s="358" t="s">
        <v>2775</v>
      </c>
      <c r="I228" s="362" t="s">
        <v>2776</v>
      </c>
      <c r="J228" s="358">
        <v>8.4933321E7</v>
      </c>
      <c r="K228" s="358" t="s">
        <v>2777</v>
      </c>
      <c r="L228" s="358" t="s">
        <v>2778</v>
      </c>
      <c r="M228" s="358" t="s">
        <v>1063</v>
      </c>
      <c r="N228" s="358" t="s">
        <v>2779</v>
      </c>
      <c r="O228" s="358" t="s">
        <v>2780</v>
      </c>
    </row>
    <row r="229">
      <c r="A229" s="358" t="s">
        <v>2781</v>
      </c>
      <c r="B229" s="358">
        <v>74.0</v>
      </c>
      <c r="C229" s="358" t="s">
        <v>2218</v>
      </c>
      <c r="D229" s="359">
        <v>28230.0</v>
      </c>
      <c r="E229" s="358">
        <v>2.64158362E8</v>
      </c>
      <c r="F229" s="358" t="s">
        <v>2782</v>
      </c>
      <c r="G229" s="358" t="s">
        <v>2783</v>
      </c>
      <c r="H229" s="358" t="s">
        <v>2784</v>
      </c>
      <c r="I229" s="362" t="s">
        <v>2785</v>
      </c>
      <c r="J229" s="358">
        <v>2.7299335E7</v>
      </c>
      <c r="K229" s="358" t="s">
        <v>2786</v>
      </c>
      <c r="L229" s="358" t="s">
        <v>2787</v>
      </c>
      <c r="M229" s="358" t="s">
        <v>1063</v>
      </c>
      <c r="N229" s="358" t="s">
        <v>2788</v>
      </c>
      <c r="O229" s="358" t="s">
        <v>1174</v>
      </c>
    </row>
    <row r="230">
      <c r="A230" s="358" t="s">
        <v>2789</v>
      </c>
      <c r="B230" s="358">
        <v>1504.0</v>
      </c>
      <c r="C230" s="358" t="s">
        <v>2790</v>
      </c>
      <c r="D230" s="359">
        <v>27227.0</v>
      </c>
      <c r="E230" s="358">
        <v>4.11263754E8</v>
      </c>
      <c r="F230" s="358" t="s">
        <v>2791</v>
      </c>
      <c r="G230" s="360" t="s">
        <v>1058</v>
      </c>
      <c r="H230" s="358" t="s">
        <v>2792</v>
      </c>
      <c r="I230" s="362" t="s">
        <v>2793</v>
      </c>
      <c r="J230" s="358">
        <v>9.0273028E7</v>
      </c>
      <c r="K230" s="358" t="s">
        <v>2794</v>
      </c>
      <c r="L230" s="358" t="s">
        <v>2795</v>
      </c>
      <c r="M230" s="358" t="s">
        <v>1063</v>
      </c>
      <c r="N230" s="358" t="s">
        <v>2796</v>
      </c>
      <c r="O230" s="358" t="s">
        <v>1529</v>
      </c>
    </row>
    <row r="231">
      <c r="A231" s="358" t="s">
        <v>2797</v>
      </c>
      <c r="B231" s="358">
        <v>1652.0</v>
      </c>
      <c r="C231" s="358" t="s">
        <v>1555</v>
      </c>
      <c r="D231" s="359">
        <v>30758.0</v>
      </c>
      <c r="E231" s="358">
        <v>2.64356986E8</v>
      </c>
      <c r="F231" s="358" t="s">
        <v>2698</v>
      </c>
      <c r="G231" s="358" t="s">
        <v>1380</v>
      </c>
      <c r="H231" s="358" t="s">
        <v>2699</v>
      </c>
      <c r="I231" s="362" t="s">
        <v>2798</v>
      </c>
      <c r="J231" s="358">
        <v>9.4607281E7</v>
      </c>
      <c r="K231" s="358" t="s">
        <v>2799</v>
      </c>
      <c r="L231" s="358" t="s">
        <v>2800</v>
      </c>
      <c r="M231" s="358" t="s">
        <v>1063</v>
      </c>
      <c r="N231" s="358" t="s">
        <v>2801</v>
      </c>
      <c r="O231" s="358" t="s">
        <v>2704</v>
      </c>
    </row>
    <row r="232">
      <c r="A232" s="358" t="s">
        <v>2802</v>
      </c>
      <c r="B232" s="358">
        <v>1697.0</v>
      </c>
      <c r="C232" s="358" t="s">
        <v>2803</v>
      </c>
      <c r="D232" s="359">
        <v>23388.0</v>
      </c>
      <c r="E232" s="358">
        <v>4.54868054E8</v>
      </c>
      <c r="F232" s="358" t="s">
        <v>2698</v>
      </c>
      <c r="G232" s="358" t="s">
        <v>1380</v>
      </c>
      <c r="H232" s="358" t="s">
        <v>2699</v>
      </c>
      <c r="I232" s="362" t="s">
        <v>2804</v>
      </c>
      <c r="J232" s="358">
        <v>9.6468009E7</v>
      </c>
      <c r="K232" s="358" t="s">
        <v>2805</v>
      </c>
      <c r="L232" s="358" t="s">
        <v>2806</v>
      </c>
      <c r="M232" s="358" t="s">
        <v>1063</v>
      </c>
      <c r="N232" s="358" t="s">
        <v>2807</v>
      </c>
      <c r="O232" s="358" t="s">
        <v>2802</v>
      </c>
    </row>
    <row r="233">
      <c r="A233" s="358" t="s">
        <v>2808</v>
      </c>
      <c r="B233" s="358">
        <v>494.0</v>
      </c>
      <c r="C233" s="358" t="s">
        <v>2491</v>
      </c>
      <c r="D233" s="359">
        <v>28443.0</v>
      </c>
      <c r="E233" s="358">
        <v>2.64154319E8</v>
      </c>
      <c r="F233" s="358" t="s">
        <v>2809</v>
      </c>
      <c r="G233" s="360" t="s">
        <v>1058</v>
      </c>
      <c r="H233" s="358" t="s">
        <v>2810</v>
      </c>
      <c r="I233" s="362" t="s">
        <v>2811</v>
      </c>
      <c r="J233" s="358">
        <v>7.079224E7</v>
      </c>
      <c r="K233" s="358" t="s">
        <v>2812</v>
      </c>
      <c r="L233" s="358" t="s">
        <v>2813</v>
      </c>
      <c r="M233" s="358" t="s">
        <v>1063</v>
      </c>
      <c r="N233" s="358" t="s">
        <v>2814</v>
      </c>
      <c r="O233" s="358" t="s">
        <v>1065</v>
      </c>
    </row>
    <row r="234">
      <c r="A234" s="358" t="s">
        <v>2815</v>
      </c>
      <c r="B234" s="358">
        <v>1111.0</v>
      </c>
      <c r="C234" s="358" t="s">
        <v>1066</v>
      </c>
      <c r="D234" s="359">
        <v>27341.0</v>
      </c>
      <c r="E234" s="358">
        <v>6.63143901E8</v>
      </c>
      <c r="F234" s="358" t="s">
        <v>2816</v>
      </c>
      <c r="G234" s="360" t="s">
        <v>1058</v>
      </c>
      <c r="H234" s="358" t="s">
        <v>2817</v>
      </c>
      <c r="I234" s="362" t="s">
        <v>2818</v>
      </c>
      <c r="J234" s="358">
        <v>8.1743955E7</v>
      </c>
      <c r="K234" s="358" t="s">
        <v>2819</v>
      </c>
      <c r="L234" s="358" t="s">
        <v>2820</v>
      </c>
      <c r="M234" s="358" t="s">
        <v>1063</v>
      </c>
      <c r="N234" s="358" t="s">
        <v>2821</v>
      </c>
      <c r="O234" s="358" t="s">
        <v>2822</v>
      </c>
    </row>
    <row r="235">
      <c r="A235" s="358" t="s">
        <v>2823</v>
      </c>
      <c r="B235" s="358">
        <v>921.0</v>
      </c>
      <c r="C235" s="358" t="s">
        <v>2824</v>
      </c>
      <c r="D235" s="359">
        <v>30383.0</v>
      </c>
      <c r="E235" s="358">
        <v>5.49360633E8</v>
      </c>
      <c r="F235" s="358" t="s">
        <v>2825</v>
      </c>
      <c r="G235" s="360" t="s">
        <v>1058</v>
      </c>
      <c r="H235" s="358" t="s">
        <v>2826</v>
      </c>
      <c r="I235" s="362" t="s">
        <v>2827</v>
      </c>
      <c r="J235" s="358">
        <v>7.7171632E7</v>
      </c>
      <c r="K235" s="358" t="s">
        <v>2828</v>
      </c>
      <c r="L235" s="358" t="s">
        <v>2829</v>
      </c>
      <c r="M235" s="358" t="s">
        <v>1151</v>
      </c>
      <c r="N235" s="358" t="s">
        <v>2830</v>
      </c>
      <c r="O235" s="358" t="s">
        <v>2831</v>
      </c>
    </row>
    <row r="236">
      <c r="A236" s="358" t="s">
        <v>2832</v>
      </c>
      <c r="B236" s="358">
        <v>208.0</v>
      </c>
      <c r="C236" s="358" t="s">
        <v>2833</v>
      </c>
      <c r="D236" s="359">
        <v>29729.0</v>
      </c>
      <c r="E236" s="358">
        <v>5.38069181E8</v>
      </c>
      <c r="F236" s="358" t="s">
        <v>2834</v>
      </c>
      <c r="G236" s="360" t="s">
        <v>1058</v>
      </c>
      <c r="H236" s="358" t="s">
        <v>1321</v>
      </c>
      <c r="I236" s="362" t="s">
        <v>2835</v>
      </c>
      <c r="J236" s="358">
        <v>6.3149303E7</v>
      </c>
      <c r="K236" s="358" t="s">
        <v>2836</v>
      </c>
      <c r="L236" s="358" t="s">
        <v>2837</v>
      </c>
      <c r="M236" s="358" t="s">
        <v>1063</v>
      </c>
      <c r="N236" s="358" t="s">
        <v>2838</v>
      </c>
      <c r="O236" s="358" t="s">
        <v>2312</v>
      </c>
    </row>
    <row r="237">
      <c r="A237" s="358" t="s">
        <v>2839</v>
      </c>
      <c r="B237" s="358">
        <v>479.0</v>
      </c>
      <c r="C237" s="358" t="s">
        <v>2766</v>
      </c>
      <c r="D237" s="359">
        <v>29507.0</v>
      </c>
      <c r="E237" s="358">
        <v>3.0682414E8</v>
      </c>
      <c r="F237" s="358" t="s">
        <v>2840</v>
      </c>
      <c r="G237" s="358" t="s">
        <v>2724</v>
      </c>
      <c r="H237" s="358" t="s">
        <v>2841</v>
      </c>
      <c r="I237" s="362" t="s">
        <v>2769</v>
      </c>
      <c r="J237" s="358">
        <v>7.0164223E7</v>
      </c>
      <c r="K237" s="358" t="s">
        <v>2842</v>
      </c>
      <c r="L237" s="358" t="s">
        <v>2843</v>
      </c>
      <c r="M237" s="358" t="s">
        <v>1063</v>
      </c>
      <c r="N237" s="358" t="s">
        <v>2844</v>
      </c>
      <c r="O237" s="358" t="s">
        <v>1080</v>
      </c>
    </row>
    <row r="238">
      <c r="A238" s="358" t="s">
        <v>2845</v>
      </c>
      <c r="B238" s="358">
        <v>538.0</v>
      </c>
      <c r="C238" s="358" t="s">
        <v>2846</v>
      </c>
      <c r="D238" s="359">
        <v>28585.0</v>
      </c>
      <c r="E238" s="358">
        <v>5.54572448E8</v>
      </c>
      <c r="F238" s="358" t="s">
        <v>2847</v>
      </c>
      <c r="G238" s="358" t="s">
        <v>2848</v>
      </c>
      <c r="H238" s="358" t="s">
        <v>2849</v>
      </c>
      <c r="I238" s="362" t="s">
        <v>2850</v>
      </c>
      <c r="J238" s="358">
        <v>7.0876339E7</v>
      </c>
      <c r="K238" s="358" t="s">
        <v>2851</v>
      </c>
      <c r="L238" s="358" t="s">
        <v>2852</v>
      </c>
      <c r="M238" s="358" t="s">
        <v>1063</v>
      </c>
      <c r="N238" s="358" t="s">
        <v>2853</v>
      </c>
      <c r="O238" s="358" t="s">
        <v>2854</v>
      </c>
    </row>
    <row r="239">
      <c r="A239" s="358" t="s">
        <v>2855</v>
      </c>
      <c r="B239" s="358">
        <v>1584.0</v>
      </c>
      <c r="C239" s="358" t="s">
        <v>2415</v>
      </c>
      <c r="D239" s="359">
        <v>24523.0</v>
      </c>
      <c r="E239" s="358">
        <v>6.95414604E8</v>
      </c>
      <c r="F239" s="358" t="s">
        <v>2856</v>
      </c>
      <c r="G239" s="360" t="s">
        <v>1058</v>
      </c>
      <c r="H239" s="358" t="s">
        <v>2857</v>
      </c>
      <c r="I239" s="362" t="s">
        <v>2858</v>
      </c>
      <c r="J239" s="358">
        <v>7.8764033E7</v>
      </c>
      <c r="K239" s="358" t="s">
        <v>2859</v>
      </c>
      <c r="L239" s="358" t="s">
        <v>2860</v>
      </c>
      <c r="M239" s="358" t="s">
        <v>1063</v>
      </c>
      <c r="N239" s="358" t="s">
        <v>2861</v>
      </c>
      <c r="O239" s="358" t="s">
        <v>2862</v>
      </c>
    </row>
    <row r="240">
      <c r="A240" s="358" t="s">
        <v>2863</v>
      </c>
      <c r="B240" s="358">
        <v>440.0</v>
      </c>
      <c r="C240" s="358" t="s">
        <v>151</v>
      </c>
      <c r="D240" s="359">
        <v>31593.0</v>
      </c>
      <c r="E240" s="358">
        <v>5.78374559E8</v>
      </c>
      <c r="F240" s="358" t="s">
        <v>2864</v>
      </c>
      <c r="G240" s="358" t="s">
        <v>2865</v>
      </c>
      <c r="H240" s="358" t="s">
        <v>2866</v>
      </c>
      <c r="I240" s="362" t="s">
        <v>2867</v>
      </c>
      <c r="J240" s="358">
        <v>6.9598908E7</v>
      </c>
      <c r="K240" s="358" t="s">
        <v>2868</v>
      </c>
      <c r="L240" s="358" t="s">
        <v>2869</v>
      </c>
      <c r="M240" s="358" t="s">
        <v>1063</v>
      </c>
      <c r="N240" s="358" t="s">
        <v>2870</v>
      </c>
      <c r="O240" s="358" t="s">
        <v>2871</v>
      </c>
    </row>
    <row r="241">
      <c r="A241" s="358" t="s">
        <v>2872</v>
      </c>
      <c r="B241" s="358">
        <v>1150.0</v>
      </c>
      <c r="C241" s="358" t="s">
        <v>1970</v>
      </c>
      <c r="D241" s="359">
        <v>29865.0</v>
      </c>
      <c r="E241" s="358">
        <v>6.9493052E8</v>
      </c>
      <c r="F241" s="358" t="s">
        <v>2873</v>
      </c>
      <c r="G241" s="360" t="s">
        <v>1058</v>
      </c>
      <c r="H241" s="358" t="s">
        <v>1797</v>
      </c>
      <c r="I241" s="362" t="s">
        <v>2874</v>
      </c>
      <c r="J241" s="358">
        <v>7.0908591E7</v>
      </c>
      <c r="K241" s="358" t="s">
        <v>2875</v>
      </c>
      <c r="L241" s="358" t="s">
        <v>2876</v>
      </c>
      <c r="M241" s="358" t="s">
        <v>1063</v>
      </c>
      <c r="N241" s="358" t="s">
        <v>2877</v>
      </c>
      <c r="O241" s="358" t="s">
        <v>2878</v>
      </c>
    </row>
    <row r="242">
      <c r="A242" s="358" t="s">
        <v>2879</v>
      </c>
      <c r="B242" s="358">
        <v>148.0</v>
      </c>
      <c r="C242" s="358" t="s">
        <v>1539</v>
      </c>
      <c r="D242" s="359">
        <v>24383.0</v>
      </c>
      <c r="E242" s="358">
        <v>6.4229424E8</v>
      </c>
      <c r="F242" s="358" t="s">
        <v>2880</v>
      </c>
      <c r="G242" s="358" t="s">
        <v>1265</v>
      </c>
      <c r="H242" s="358" t="s">
        <v>2881</v>
      </c>
      <c r="I242" s="362" t="s">
        <v>2882</v>
      </c>
      <c r="J242" s="358">
        <v>6.0203382E7</v>
      </c>
      <c r="K242" s="358" t="s">
        <v>2883</v>
      </c>
      <c r="L242" s="358" t="s">
        <v>2884</v>
      </c>
      <c r="M242" s="358" t="s">
        <v>1063</v>
      </c>
      <c r="N242" s="358" t="s">
        <v>2885</v>
      </c>
      <c r="O242" s="358" t="s">
        <v>2886</v>
      </c>
    </row>
    <row r="243">
      <c r="A243" s="358" t="s">
        <v>2887</v>
      </c>
      <c r="B243" s="358">
        <v>935.0</v>
      </c>
      <c r="C243" s="358" t="s">
        <v>1349</v>
      </c>
      <c r="D243" s="359">
        <v>23809.0</v>
      </c>
      <c r="E243" s="358">
        <v>2.42852166E8</v>
      </c>
      <c r="F243" s="358" t="s">
        <v>2888</v>
      </c>
      <c r="G243" s="358" t="s">
        <v>1265</v>
      </c>
      <c r="H243" s="358" t="s">
        <v>2889</v>
      </c>
      <c r="I243" s="362" t="s">
        <v>2890</v>
      </c>
      <c r="J243" s="358">
        <v>7.7545583E7</v>
      </c>
      <c r="K243" s="358" t="s">
        <v>2891</v>
      </c>
      <c r="L243" s="358" t="s">
        <v>2892</v>
      </c>
      <c r="M243" s="358" t="s">
        <v>1063</v>
      </c>
      <c r="N243" s="358" t="s">
        <v>2893</v>
      </c>
      <c r="O243" s="358" t="s">
        <v>2894</v>
      </c>
    </row>
    <row r="244">
      <c r="A244" s="358" t="s">
        <v>2895</v>
      </c>
      <c r="B244" s="358">
        <v>1545.0</v>
      </c>
      <c r="C244" s="358" t="s">
        <v>2896</v>
      </c>
      <c r="D244" s="359">
        <v>31349.0</v>
      </c>
      <c r="E244" s="358">
        <v>6.3579786E8</v>
      </c>
      <c r="F244" s="358" t="s">
        <v>2897</v>
      </c>
      <c r="G244" s="358" t="s">
        <v>2898</v>
      </c>
      <c r="H244" s="358" t="s">
        <v>2899</v>
      </c>
      <c r="I244" s="362" t="s">
        <v>2900</v>
      </c>
      <c r="J244" s="358">
        <v>9.0652568E7</v>
      </c>
      <c r="K244" s="358" t="s">
        <v>2901</v>
      </c>
      <c r="L244" s="358" t="s">
        <v>2902</v>
      </c>
      <c r="M244" s="358" t="s">
        <v>1063</v>
      </c>
      <c r="N244" s="358" t="s">
        <v>2903</v>
      </c>
      <c r="O244" s="358" t="s">
        <v>2904</v>
      </c>
    </row>
    <row r="245">
      <c r="A245" s="358" t="s">
        <v>2905</v>
      </c>
      <c r="B245" s="358">
        <v>972.0</v>
      </c>
      <c r="C245" s="358" t="s">
        <v>2906</v>
      </c>
      <c r="D245" s="359">
        <v>29737.0</v>
      </c>
      <c r="E245" s="358">
        <v>2.67938147E8</v>
      </c>
      <c r="F245" s="358" t="s">
        <v>2907</v>
      </c>
      <c r="G245" s="360" t="s">
        <v>1058</v>
      </c>
      <c r="H245" s="358" t="s">
        <v>1533</v>
      </c>
      <c r="I245" s="362" t="s">
        <v>2908</v>
      </c>
      <c r="J245" s="358">
        <v>2.7313262E7</v>
      </c>
      <c r="K245" s="358" t="s">
        <v>2909</v>
      </c>
      <c r="L245" s="358" t="s">
        <v>2910</v>
      </c>
      <c r="M245" s="358" t="s">
        <v>1063</v>
      </c>
      <c r="N245" s="358" t="s">
        <v>2911</v>
      </c>
      <c r="O245" s="358" t="s">
        <v>2912</v>
      </c>
    </row>
    <row r="246">
      <c r="A246" s="358" t="s">
        <v>2913</v>
      </c>
      <c r="B246" s="358">
        <v>629.0</v>
      </c>
      <c r="C246" s="358" t="s">
        <v>2914</v>
      </c>
      <c r="D246" s="359">
        <v>28515.0</v>
      </c>
      <c r="E246" s="358">
        <v>2.64292704E8</v>
      </c>
      <c r="F246" s="358" t="s">
        <v>2915</v>
      </c>
      <c r="G246" s="360" t="s">
        <v>1058</v>
      </c>
      <c r="H246" s="358" t="s">
        <v>2916</v>
      </c>
      <c r="I246" s="362" t="s">
        <v>2917</v>
      </c>
      <c r="J246" s="358">
        <v>7.2555971E7</v>
      </c>
      <c r="K246" s="358" t="s">
        <v>2918</v>
      </c>
      <c r="L246" s="358" t="s">
        <v>2919</v>
      </c>
      <c r="M246" s="358" t="s">
        <v>1063</v>
      </c>
      <c r="N246" s="358" t="s">
        <v>2920</v>
      </c>
      <c r="O246" s="358" t="s">
        <v>2921</v>
      </c>
    </row>
    <row r="247">
      <c r="A247" s="358" t="s">
        <v>2922</v>
      </c>
      <c r="B247" s="358">
        <v>1149.0</v>
      </c>
      <c r="C247" s="358" t="s">
        <v>1255</v>
      </c>
      <c r="D247" s="359">
        <v>28569.0</v>
      </c>
      <c r="E247" s="358">
        <v>6.60798992E8</v>
      </c>
      <c r="F247" s="358" t="s">
        <v>2923</v>
      </c>
      <c r="G247" s="360" t="s">
        <v>1058</v>
      </c>
      <c r="H247" s="358" t="s">
        <v>2924</v>
      </c>
      <c r="I247" s="362" t="s">
        <v>2925</v>
      </c>
      <c r="J247" s="358">
        <v>6.2818023E7</v>
      </c>
      <c r="K247" s="358" t="s">
        <v>2926</v>
      </c>
      <c r="L247" s="358" t="s">
        <v>2927</v>
      </c>
      <c r="M247" s="358" t="s">
        <v>1063</v>
      </c>
      <c r="N247" s="358" t="s">
        <v>2928</v>
      </c>
      <c r="O247" s="358" t="s">
        <v>2929</v>
      </c>
    </row>
    <row r="248">
      <c r="A248" s="358" t="s">
        <v>2930</v>
      </c>
      <c r="B248" s="358">
        <v>690.0</v>
      </c>
      <c r="C248" s="358" t="s">
        <v>1555</v>
      </c>
      <c r="D248" s="359">
        <v>27189.0</v>
      </c>
      <c r="E248" s="358">
        <v>5.5533376E8</v>
      </c>
      <c r="F248" s="358" t="s">
        <v>2931</v>
      </c>
      <c r="G248" s="360" t="s">
        <v>1058</v>
      </c>
      <c r="H248" s="358" t="s">
        <v>2932</v>
      </c>
      <c r="I248" s="362" t="s">
        <v>2933</v>
      </c>
      <c r="J248" s="358">
        <v>7.1072497E7</v>
      </c>
      <c r="K248" s="358" t="s">
        <v>2934</v>
      </c>
      <c r="L248" s="358" t="s">
        <v>2935</v>
      </c>
      <c r="M248" s="358" t="s">
        <v>1063</v>
      </c>
      <c r="N248" s="358" t="s">
        <v>2936</v>
      </c>
      <c r="O248" s="358" t="s">
        <v>2937</v>
      </c>
    </row>
    <row r="249">
      <c r="A249" s="358" t="s">
        <v>2938</v>
      </c>
      <c r="B249" s="358">
        <v>312.0</v>
      </c>
      <c r="C249" s="358" t="s">
        <v>2134</v>
      </c>
      <c r="D249" s="359">
        <v>27392.0</v>
      </c>
      <c r="E249" s="358">
        <v>4.84552156E8</v>
      </c>
      <c r="F249" s="358" t="s">
        <v>2939</v>
      </c>
      <c r="G249" s="360" t="s">
        <v>1058</v>
      </c>
      <c r="H249" s="358" t="s">
        <v>2940</v>
      </c>
      <c r="I249" s="362" t="s">
        <v>2941</v>
      </c>
      <c r="J249" s="358">
        <v>6.5955544E7</v>
      </c>
      <c r="K249" s="358" t="s">
        <v>2942</v>
      </c>
      <c r="L249" s="358" t="s">
        <v>2943</v>
      </c>
      <c r="M249" s="358" t="s">
        <v>1063</v>
      </c>
      <c r="N249" s="358" t="s">
        <v>2944</v>
      </c>
      <c r="O249" s="358" t="s">
        <v>1309</v>
      </c>
    </row>
    <row r="250">
      <c r="A250" s="358" t="s">
        <v>2945</v>
      </c>
      <c r="B250" s="358">
        <v>16.0</v>
      </c>
      <c r="C250" s="358" t="s">
        <v>1199</v>
      </c>
      <c r="D250" s="359">
        <v>28930.0</v>
      </c>
      <c r="E250" s="358">
        <v>7.81916653E8</v>
      </c>
      <c r="F250" s="358" t="s">
        <v>2946</v>
      </c>
      <c r="G250" s="358" t="s">
        <v>2724</v>
      </c>
      <c r="H250" s="358" t="s">
        <v>2947</v>
      </c>
      <c r="I250" s="362" t="s">
        <v>2948</v>
      </c>
      <c r="J250" s="358">
        <v>5.3978714E7</v>
      </c>
      <c r="K250" s="358" t="s">
        <v>2949</v>
      </c>
      <c r="L250" s="358" t="s">
        <v>2950</v>
      </c>
      <c r="M250" s="358" t="s">
        <v>1063</v>
      </c>
      <c r="N250" s="358" t="s">
        <v>2951</v>
      </c>
      <c r="O250" s="358" t="s">
        <v>1756</v>
      </c>
    </row>
    <row r="251">
      <c r="A251" s="358" t="s">
        <v>2952</v>
      </c>
      <c r="B251" s="358">
        <v>1178.0</v>
      </c>
      <c r="C251" s="358" t="s">
        <v>2953</v>
      </c>
      <c r="D251" s="359">
        <v>32429.0</v>
      </c>
      <c r="E251" s="358">
        <v>3.88466418E8</v>
      </c>
      <c r="F251" s="358" t="s">
        <v>2954</v>
      </c>
      <c r="G251" s="360" t="s">
        <v>1058</v>
      </c>
      <c r="H251" s="358" t="s">
        <v>2955</v>
      </c>
      <c r="I251" s="362" t="s">
        <v>2956</v>
      </c>
      <c r="J251" s="358">
        <v>8.2826137E7</v>
      </c>
      <c r="K251" s="358" t="s">
        <v>2957</v>
      </c>
      <c r="L251" s="358" t="s">
        <v>2958</v>
      </c>
      <c r="M251" s="358" t="s">
        <v>1063</v>
      </c>
      <c r="N251" s="358" t="s">
        <v>2959</v>
      </c>
      <c r="O251" s="358" t="s">
        <v>2960</v>
      </c>
    </row>
    <row r="252">
      <c r="A252" s="358" t="s">
        <v>2961</v>
      </c>
      <c r="B252" s="358">
        <v>1269.0</v>
      </c>
      <c r="C252" s="358" t="s">
        <v>2962</v>
      </c>
      <c r="D252" s="359">
        <v>30007.0</v>
      </c>
      <c r="E252" s="358">
        <v>3.85836491E8</v>
      </c>
      <c r="F252" s="358" t="s">
        <v>2963</v>
      </c>
      <c r="G252" s="358" t="s">
        <v>1380</v>
      </c>
      <c r="H252" s="358" t="s">
        <v>2964</v>
      </c>
      <c r="I252" s="362" t="s">
        <v>2965</v>
      </c>
      <c r="J252" s="358">
        <v>9.6060913E7</v>
      </c>
      <c r="K252" s="358" t="s">
        <v>2966</v>
      </c>
      <c r="L252" s="358" t="s">
        <v>2967</v>
      </c>
      <c r="M252" s="358" t="s">
        <v>1063</v>
      </c>
      <c r="N252" s="358" t="s">
        <v>2968</v>
      </c>
      <c r="O252" s="358" t="s">
        <v>2969</v>
      </c>
    </row>
    <row r="253">
      <c r="A253" s="358" t="s">
        <v>2970</v>
      </c>
      <c r="B253" s="358">
        <v>1118.0</v>
      </c>
      <c r="C253" s="358" t="s">
        <v>2971</v>
      </c>
      <c r="D253" s="359">
        <v>32902.0</v>
      </c>
      <c r="E253" s="358">
        <v>6.00400256E8</v>
      </c>
      <c r="F253" s="358" t="s">
        <v>2972</v>
      </c>
      <c r="G253" s="360" t="s">
        <v>1058</v>
      </c>
      <c r="H253" s="358" t="s">
        <v>2973</v>
      </c>
      <c r="I253" s="362" t="s">
        <v>2974</v>
      </c>
      <c r="J253" s="358">
        <v>8.1918275E7</v>
      </c>
      <c r="K253" s="358" t="s">
        <v>2975</v>
      </c>
      <c r="L253" s="358" t="s">
        <v>2976</v>
      </c>
      <c r="M253" s="358" t="s">
        <v>1063</v>
      </c>
      <c r="N253" s="358" t="s">
        <v>2977</v>
      </c>
      <c r="O253" s="358" t="s">
        <v>2978</v>
      </c>
    </row>
    <row r="254">
      <c r="A254" s="358" t="s">
        <v>2979</v>
      </c>
      <c r="B254" s="358">
        <v>1289.0</v>
      </c>
      <c r="C254" s="358" t="s">
        <v>2980</v>
      </c>
      <c r="D254" s="359">
        <v>35345.0</v>
      </c>
      <c r="E254" s="358">
        <v>5.8305831E8</v>
      </c>
      <c r="F254" s="358" t="s">
        <v>2981</v>
      </c>
      <c r="G254" s="360" t="s">
        <v>1058</v>
      </c>
      <c r="H254" s="358" t="s">
        <v>2982</v>
      </c>
      <c r="I254" s="362" t="s">
        <v>2983</v>
      </c>
      <c r="J254" s="358">
        <v>8.5433284E7</v>
      </c>
      <c r="K254" s="358" t="s">
        <v>2984</v>
      </c>
      <c r="L254" s="358" t="s">
        <v>2985</v>
      </c>
      <c r="M254" s="358" t="s">
        <v>1063</v>
      </c>
      <c r="N254" s="358" t="s">
        <v>2986</v>
      </c>
      <c r="O254" s="358" t="s">
        <v>2594</v>
      </c>
    </row>
    <row r="255">
      <c r="A255" s="358" t="s">
        <v>2987</v>
      </c>
      <c r="B255" s="358">
        <v>877.0</v>
      </c>
      <c r="C255" s="358" t="s">
        <v>1728</v>
      </c>
      <c r="D255" s="359">
        <v>26488.0</v>
      </c>
      <c r="E255" s="358">
        <v>7.80198402E8</v>
      </c>
      <c r="F255" s="358" t="s">
        <v>2988</v>
      </c>
      <c r="G255" s="358" t="s">
        <v>1574</v>
      </c>
      <c r="H255" s="358" t="s">
        <v>2989</v>
      </c>
      <c r="I255" s="362" t="s">
        <v>2990</v>
      </c>
      <c r="J255" s="358">
        <v>7.6233936E7</v>
      </c>
      <c r="K255" s="358" t="s">
        <v>2991</v>
      </c>
      <c r="L255" s="358" t="s">
        <v>2992</v>
      </c>
      <c r="M255" s="358" t="s">
        <v>1063</v>
      </c>
      <c r="N255" s="358" t="s">
        <v>2993</v>
      </c>
      <c r="O255" s="358" t="s">
        <v>2994</v>
      </c>
    </row>
    <row r="256">
      <c r="A256" s="358" t="s">
        <v>2995</v>
      </c>
      <c r="B256" s="358">
        <v>1734.0</v>
      </c>
      <c r="C256" s="358" t="s">
        <v>1822</v>
      </c>
      <c r="D256" s="359">
        <v>32454.0</v>
      </c>
      <c r="E256" s="358">
        <v>2.8621094E8</v>
      </c>
      <c r="F256" s="358" t="s">
        <v>2996</v>
      </c>
      <c r="G256" s="358" t="s">
        <v>2997</v>
      </c>
      <c r="H256" s="358" t="s">
        <v>2998</v>
      </c>
      <c r="I256" s="362" t="s">
        <v>2999</v>
      </c>
      <c r="J256" s="358">
        <v>9.7973742E7</v>
      </c>
      <c r="K256" s="358" t="s">
        <v>3000</v>
      </c>
      <c r="L256" s="358" t="s">
        <v>3001</v>
      </c>
      <c r="M256" s="358" t="s">
        <v>1063</v>
      </c>
      <c r="N256" s="358" t="s">
        <v>3002</v>
      </c>
      <c r="O256" s="358" t="s">
        <v>2995</v>
      </c>
    </row>
    <row r="257">
      <c r="A257" s="358" t="s">
        <v>3003</v>
      </c>
      <c r="B257" s="358">
        <v>1478.0</v>
      </c>
      <c r="C257" s="358" t="s">
        <v>3004</v>
      </c>
      <c r="D257" s="359">
        <v>34134.0</v>
      </c>
      <c r="E257" s="358">
        <v>6.72970594E8</v>
      </c>
      <c r="F257" s="358" t="s">
        <v>3005</v>
      </c>
      <c r="G257" s="360" t="s">
        <v>1058</v>
      </c>
      <c r="H257" s="358" t="s">
        <v>3006</v>
      </c>
      <c r="I257" s="362" t="s">
        <v>3007</v>
      </c>
      <c r="J257" s="358">
        <v>8.9160347E7</v>
      </c>
      <c r="K257" s="358" t="s">
        <v>3008</v>
      </c>
      <c r="L257" s="358" t="s">
        <v>3009</v>
      </c>
      <c r="M257" s="358" t="s">
        <v>1063</v>
      </c>
      <c r="N257" s="358" t="s">
        <v>3010</v>
      </c>
      <c r="O257" s="358" t="s">
        <v>3011</v>
      </c>
    </row>
    <row r="258">
      <c r="A258" s="358" t="s">
        <v>3012</v>
      </c>
      <c r="B258" s="358">
        <v>380.0</v>
      </c>
      <c r="C258" s="358" t="s">
        <v>1311</v>
      </c>
      <c r="D258" s="359">
        <v>25550.0</v>
      </c>
      <c r="E258" s="358" t="s">
        <v>3013</v>
      </c>
      <c r="F258" s="358" t="s">
        <v>2350</v>
      </c>
      <c r="G258" s="360" t="s">
        <v>1058</v>
      </c>
      <c r="H258" s="358" t="s">
        <v>2351</v>
      </c>
      <c r="I258" s="361" t="s">
        <v>3014</v>
      </c>
      <c r="J258" s="358">
        <v>9.4649553E7</v>
      </c>
      <c r="K258" s="358" t="s">
        <v>3015</v>
      </c>
      <c r="L258" s="358" t="s">
        <v>3013</v>
      </c>
      <c r="M258" s="358" t="s">
        <v>1063</v>
      </c>
      <c r="N258" s="358" t="s">
        <v>3016</v>
      </c>
      <c r="O258" s="358" t="s">
        <v>2349</v>
      </c>
    </row>
    <row r="259">
      <c r="A259" s="358" t="s">
        <v>3017</v>
      </c>
      <c r="B259" s="358">
        <v>1713.0</v>
      </c>
      <c r="C259" s="358" t="s">
        <v>2466</v>
      </c>
      <c r="D259" s="359">
        <v>35934.0</v>
      </c>
      <c r="E259" s="358">
        <v>5.43314868E8</v>
      </c>
      <c r="F259" s="358" t="s">
        <v>3018</v>
      </c>
      <c r="G259" s="360" t="s">
        <v>1058</v>
      </c>
      <c r="H259" s="358" t="s">
        <v>3019</v>
      </c>
      <c r="I259" s="362" t="s">
        <v>3020</v>
      </c>
      <c r="J259" s="358">
        <v>9.7360163E7</v>
      </c>
      <c r="K259" s="358" t="s">
        <v>1061</v>
      </c>
      <c r="L259" s="358" t="s">
        <v>3021</v>
      </c>
      <c r="M259" s="358" t="s">
        <v>1063</v>
      </c>
      <c r="N259" s="358" t="s">
        <v>3022</v>
      </c>
      <c r="O259" s="358" t="s">
        <v>3023</v>
      </c>
    </row>
    <row r="260">
      <c r="A260" s="358" t="s">
        <v>3024</v>
      </c>
      <c r="B260" s="358">
        <v>684.0</v>
      </c>
      <c r="C260" s="358" t="s">
        <v>1489</v>
      </c>
      <c r="D260" s="359">
        <v>30203.0</v>
      </c>
      <c r="E260" s="358">
        <v>4.83624639E8</v>
      </c>
      <c r="F260" s="358" t="s">
        <v>3025</v>
      </c>
      <c r="G260" s="360" t="s">
        <v>1058</v>
      </c>
      <c r="H260" s="358" t="s">
        <v>3026</v>
      </c>
      <c r="I260" s="362" t="s">
        <v>3027</v>
      </c>
      <c r="J260" s="358">
        <v>7.388739E7</v>
      </c>
      <c r="K260" s="358" t="s">
        <v>3028</v>
      </c>
      <c r="L260" s="358" t="s">
        <v>3029</v>
      </c>
      <c r="M260" s="358" t="s">
        <v>1063</v>
      </c>
      <c r="N260" s="358" t="s">
        <v>3030</v>
      </c>
      <c r="O260" s="358" t="s">
        <v>3031</v>
      </c>
    </row>
    <row r="261">
      <c r="A261" s="358" t="s">
        <v>3032</v>
      </c>
      <c r="B261" s="358">
        <v>876.0</v>
      </c>
      <c r="C261" s="358" t="s">
        <v>1910</v>
      </c>
      <c r="D261" s="359">
        <v>29242.0</v>
      </c>
      <c r="E261" s="358">
        <v>5.89515937E8</v>
      </c>
      <c r="F261" s="358" t="s">
        <v>3033</v>
      </c>
      <c r="G261" s="360" t="s">
        <v>1058</v>
      </c>
      <c r="H261" s="358" t="s">
        <v>3034</v>
      </c>
      <c r="I261" s="362" t="s">
        <v>3035</v>
      </c>
      <c r="J261" s="358">
        <v>9.3862326E7</v>
      </c>
      <c r="K261" s="358" t="s">
        <v>3036</v>
      </c>
      <c r="L261" s="358" t="s">
        <v>3037</v>
      </c>
      <c r="M261" s="358" t="s">
        <v>1063</v>
      </c>
      <c r="N261" s="358" t="s">
        <v>3038</v>
      </c>
      <c r="O261" s="358" t="s">
        <v>3039</v>
      </c>
    </row>
    <row r="262">
      <c r="A262" s="358" t="s">
        <v>3040</v>
      </c>
      <c r="B262" s="358">
        <v>1710.0</v>
      </c>
      <c r="C262" s="358" t="s">
        <v>3041</v>
      </c>
      <c r="D262" s="359">
        <v>27376.0</v>
      </c>
      <c r="E262" s="358" t="s">
        <v>3042</v>
      </c>
      <c r="F262" s="358" t="s">
        <v>2054</v>
      </c>
      <c r="G262" s="360" t="s">
        <v>1058</v>
      </c>
      <c r="H262" s="358" t="s">
        <v>2055</v>
      </c>
      <c r="I262" s="362" t="s">
        <v>3043</v>
      </c>
      <c r="J262" s="358">
        <v>9.7218359E7</v>
      </c>
      <c r="K262" s="358" t="s">
        <v>3044</v>
      </c>
      <c r="L262" s="358" t="s">
        <v>3045</v>
      </c>
      <c r="M262" s="358" t="s">
        <v>1063</v>
      </c>
      <c r="N262" s="358" t="s">
        <v>3046</v>
      </c>
      <c r="O262" s="358" t="s">
        <v>3047</v>
      </c>
    </row>
    <row r="263">
      <c r="A263" s="358" t="s">
        <v>3048</v>
      </c>
      <c r="B263" s="358">
        <v>1741.0</v>
      </c>
      <c r="C263" s="358" t="s">
        <v>3049</v>
      </c>
      <c r="D263" s="359">
        <v>28790.0</v>
      </c>
      <c r="E263" s="358">
        <v>3.98636928E8</v>
      </c>
      <c r="F263" s="358" t="s">
        <v>3050</v>
      </c>
      <c r="G263" s="360" t="s">
        <v>1058</v>
      </c>
      <c r="H263" s="358" t="s">
        <v>3051</v>
      </c>
      <c r="I263" s="361" t="s">
        <v>3052</v>
      </c>
      <c r="J263" s="358">
        <v>9.8527509E7</v>
      </c>
      <c r="K263" s="358" t="s">
        <v>1061</v>
      </c>
      <c r="L263" s="358" t="s">
        <v>3053</v>
      </c>
      <c r="M263" s="358" t="s">
        <v>1063</v>
      </c>
      <c r="N263" s="358" t="s">
        <v>3054</v>
      </c>
      <c r="O263" s="358" t="s">
        <v>3055</v>
      </c>
    </row>
    <row r="264">
      <c r="A264" s="358" t="s">
        <v>3056</v>
      </c>
      <c r="B264" s="358">
        <v>988.0</v>
      </c>
      <c r="C264" s="358" t="s">
        <v>3057</v>
      </c>
      <c r="D264" s="359">
        <v>31075.0</v>
      </c>
      <c r="E264" s="358">
        <v>6.80253646E8</v>
      </c>
      <c r="F264" s="358" t="s">
        <v>2492</v>
      </c>
      <c r="G264" s="360" t="s">
        <v>2493</v>
      </c>
      <c r="H264" s="358" t="s">
        <v>3058</v>
      </c>
      <c r="I264" s="362" t="s">
        <v>3059</v>
      </c>
      <c r="J264" s="358">
        <v>7.8287391E7</v>
      </c>
      <c r="K264" s="358" t="s">
        <v>3060</v>
      </c>
      <c r="L264" s="358" t="s">
        <v>3061</v>
      </c>
      <c r="M264" s="358" t="s">
        <v>1151</v>
      </c>
      <c r="N264" s="358" t="s">
        <v>3062</v>
      </c>
      <c r="O264" s="358" t="s">
        <v>3063</v>
      </c>
    </row>
    <row r="265">
      <c r="A265" s="358" t="s">
        <v>3064</v>
      </c>
      <c r="B265" s="358">
        <v>525.0</v>
      </c>
      <c r="C265" s="358" t="s">
        <v>3065</v>
      </c>
      <c r="D265" s="359">
        <v>30832.0</v>
      </c>
      <c r="E265" s="358">
        <v>4.38696803E8</v>
      </c>
      <c r="F265" s="358" t="s">
        <v>1057</v>
      </c>
      <c r="G265" s="358" t="s">
        <v>2425</v>
      </c>
      <c r="H265" s="358" t="s">
        <v>1059</v>
      </c>
      <c r="I265" s="361" t="s">
        <v>3066</v>
      </c>
      <c r="J265" s="358">
        <v>6.9851247E7</v>
      </c>
      <c r="K265" s="358" t="s">
        <v>1061</v>
      </c>
      <c r="L265" s="358" t="s">
        <v>3067</v>
      </c>
      <c r="M265" s="358" t="s">
        <v>1063</v>
      </c>
      <c r="N265" s="358" t="s">
        <v>3068</v>
      </c>
      <c r="O265" s="358" t="s">
        <v>3069</v>
      </c>
    </row>
    <row r="266">
      <c r="A266" s="358" t="s">
        <v>3070</v>
      </c>
      <c r="B266" s="358">
        <v>320.0</v>
      </c>
      <c r="C266" s="358" t="s">
        <v>3071</v>
      </c>
      <c r="D266" s="359">
        <v>27214.0</v>
      </c>
      <c r="E266" s="358">
        <v>4.78470344E8</v>
      </c>
      <c r="F266" s="358" t="s">
        <v>3072</v>
      </c>
      <c r="G266" s="358" t="s">
        <v>3073</v>
      </c>
      <c r="H266" s="358" t="s">
        <v>3074</v>
      </c>
      <c r="I266" s="362" t="s">
        <v>3075</v>
      </c>
      <c r="J266" s="358">
        <v>6.6279585E7</v>
      </c>
      <c r="K266" s="358" t="s">
        <v>3076</v>
      </c>
      <c r="L266" s="358" t="s">
        <v>3077</v>
      </c>
      <c r="M266" s="358" t="s">
        <v>1063</v>
      </c>
      <c r="N266" s="358" t="s">
        <v>3078</v>
      </c>
      <c r="O266" s="358" t="s">
        <v>3079</v>
      </c>
    </row>
    <row r="267">
      <c r="A267" s="358" t="s">
        <v>3080</v>
      </c>
      <c r="B267" s="358">
        <v>1186.0</v>
      </c>
      <c r="C267" s="358" t="s">
        <v>2491</v>
      </c>
      <c r="D267" s="359">
        <v>28930.0</v>
      </c>
      <c r="E267" s="358">
        <v>3.0635237E8</v>
      </c>
      <c r="F267" s="358" t="s">
        <v>3081</v>
      </c>
      <c r="G267" s="358" t="s">
        <v>2168</v>
      </c>
      <c r="H267" s="358" t="s">
        <v>3082</v>
      </c>
      <c r="I267" s="362" t="s">
        <v>3083</v>
      </c>
      <c r="J267" s="358">
        <v>8.2779619E7</v>
      </c>
      <c r="K267" s="358" t="s">
        <v>3084</v>
      </c>
      <c r="L267" s="358" t="s">
        <v>3085</v>
      </c>
      <c r="M267" s="358" t="s">
        <v>1063</v>
      </c>
      <c r="N267" s="358" t="s">
        <v>3086</v>
      </c>
      <c r="O267" s="358" t="s">
        <v>3087</v>
      </c>
    </row>
    <row r="268">
      <c r="A268" s="358" t="s">
        <v>3088</v>
      </c>
      <c r="B268" s="358">
        <v>1678.0</v>
      </c>
      <c r="C268" s="358" t="s">
        <v>2466</v>
      </c>
      <c r="D268" s="359">
        <v>29677.0</v>
      </c>
      <c r="E268" s="358">
        <v>5.79851576E8</v>
      </c>
      <c r="F268" s="358" t="s">
        <v>3089</v>
      </c>
      <c r="G268" s="360" t="s">
        <v>1058</v>
      </c>
      <c r="H268" s="358" t="s">
        <v>3090</v>
      </c>
      <c r="I268" s="362" t="s">
        <v>3091</v>
      </c>
      <c r="J268" s="358">
        <v>9.5433651E7</v>
      </c>
      <c r="K268" s="358" t="s">
        <v>3092</v>
      </c>
      <c r="L268" s="358" t="s">
        <v>3093</v>
      </c>
      <c r="M268" s="358" t="s">
        <v>1151</v>
      </c>
      <c r="N268" s="358" t="s">
        <v>3094</v>
      </c>
      <c r="O268" s="358" t="s">
        <v>3095</v>
      </c>
    </row>
    <row r="269">
      <c r="A269" s="358" t="s">
        <v>3096</v>
      </c>
      <c r="B269" s="358">
        <v>507.0</v>
      </c>
      <c r="C269" s="358" t="s">
        <v>2209</v>
      </c>
      <c r="D269" s="359">
        <v>31433.0</v>
      </c>
      <c r="E269" s="358">
        <v>6.43597931E8</v>
      </c>
      <c r="F269" s="358" t="s">
        <v>3097</v>
      </c>
      <c r="G269" s="358" t="s">
        <v>3098</v>
      </c>
      <c r="H269" s="358" t="s">
        <v>3099</v>
      </c>
      <c r="I269" s="362" t="s">
        <v>3100</v>
      </c>
      <c r="J269" s="358">
        <v>7.1044205E7</v>
      </c>
      <c r="K269" s="358" t="s">
        <v>3101</v>
      </c>
      <c r="L269" s="358" t="s">
        <v>3102</v>
      </c>
      <c r="M269" s="358" t="s">
        <v>1151</v>
      </c>
      <c r="N269" s="358" t="s">
        <v>3103</v>
      </c>
      <c r="O269" s="358" t="s">
        <v>3104</v>
      </c>
    </row>
    <row r="270">
      <c r="A270" s="358" t="s">
        <v>3105</v>
      </c>
      <c r="B270" s="358">
        <v>1261.0</v>
      </c>
      <c r="C270" s="358" t="s">
        <v>3106</v>
      </c>
      <c r="D270" s="359">
        <v>26757.0</v>
      </c>
      <c r="E270" s="358">
        <v>3.41737902E8</v>
      </c>
      <c r="F270" s="358" t="s">
        <v>3107</v>
      </c>
      <c r="G270" s="360" t="s">
        <v>1058</v>
      </c>
      <c r="H270" s="358" t="s">
        <v>3108</v>
      </c>
      <c r="I270" s="362" t="s">
        <v>3109</v>
      </c>
      <c r="J270" s="358">
        <v>7.7427068E7</v>
      </c>
      <c r="K270" s="358" t="s">
        <v>3110</v>
      </c>
      <c r="L270" s="358" t="s">
        <v>3111</v>
      </c>
      <c r="M270" s="358" t="s">
        <v>1063</v>
      </c>
      <c r="N270" s="358" t="s">
        <v>3112</v>
      </c>
      <c r="O270" s="358" t="s">
        <v>1810</v>
      </c>
    </row>
    <row r="271">
      <c r="A271" s="358" t="s">
        <v>3113</v>
      </c>
      <c r="B271" s="358">
        <v>1729.0</v>
      </c>
      <c r="C271" s="358" t="s">
        <v>3114</v>
      </c>
      <c r="D271" s="359">
        <v>29945.0</v>
      </c>
      <c r="E271" s="358">
        <v>3.73651119E8</v>
      </c>
      <c r="F271" s="358" t="s">
        <v>3115</v>
      </c>
      <c r="G271" s="360" t="s">
        <v>1058</v>
      </c>
      <c r="H271" s="358" t="s">
        <v>3116</v>
      </c>
      <c r="I271" s="362" t="s">
        <v>3117</v>
      </c>
      <c r="J271" s="358">
        <v>8.4618639E7</v>
      </c>
      <c r="K271" s="358" t="s">
        <v>3118</v>
      </c>
      <c r="L271" s="358" t="s">
        <v>3119</v>
      </c>
      <c r="M271" s="358" t="s">
        <v>1063</v>
      </c>
      <c r="N271" s="358" t="s">
        <v>3120</v>
      </c>
      <c r="O271" s="358" t="s">
        <v>1417</v>
      </c>
    </row>
    <row r="272">
      <c r="A272" s="358" t="s">
        <v>3121</v>
      </c>
      <c r="B272" s="358">
        <v>210.0</v>
      </c>
      <c r="C272" s="358" t="s">
        <v>3122</v>
      </c>
      <c r="D272" s="359">
        <v>26120.0</v>
      </c>
      <c r="E272" s="358">
        <v>2.64234686E8</v>
      </c>
      <c r="F272" s="358" t="s">
        <v>3123</v>
      </c>
      <c r="G272" s="358" t="s">
        <v>2724</v>
      </c>
      <c r="H272" s="358" t="s">
        <v>3124</v>
      </c>
      <c r="I272" s="362" t="s">
        <v>3125</v>
      </c>
      <c r="J272" s="362"/>
      <c r="K272" s="358" t="s">
        <v>3126</v>
      </c>
      <c r="L272" s="358" t="s">
        <v>3127</v>
      </c>
      <c r="M272" s="358" t="s">
        <v>1063</v>
      </c>
      <c r="N272" s="358" t="s">
        <v>3128</v>
      </c>
      <c r="O272" s="358" t="s">
        <v>3129</v>
      </c>
    </row>
    <row r="273">
      <c r="A273" s="358" t="s">
        <v>3130</v>
      </c>
      <c r="B273" s="358">
        <v>210.0</v>
      </c>
      <c r="C273" s="358" t="s">
        <v>3122</v>
      </c>
      <c r="D273" s="359">
        <v>26120.0</v>
      </c>
      <c r="E273" s="358">
        <v>2.64234686E8</v>
      </c>
      <c r="F273" s="358" t="s">
        <v>3123</v>
      </c>
      <c r="G273" s="358" t="s">
        <v>2724</v>
      </c>
      <c r="H273" s="358" t="s">
        <v>3124</v>
      </c>
      <c r="I273" s="362" t="s">
        <v>3131</v>
      </c>
      <c r="J273" s="358">
        <v>6.2858173E7</v>
      </c>
      <c r="K273" s="358" t="s">
        <v>3126</v>
      </c>
      <c r="L273" s="358" t="s">
        <v>3132</v>
      </c>
      <c r="M273" s="358" t="s">
        <v>1063</v>
      </c>
      <c r="N273" s="358" t="s">
        <v>3133</v>
      </c>
      <c r="O273" s="358" t="s">
        <v>3129</v>
      </c>
    </row>
    <row r="274">
      <c r="A274" s="358" t="s">
        <v>3134</v>
      </c>
      <c r="B274" s="358">
        <v>1210.0</v>
      </c>
      <c r="C274" s="358" t="s">
        <v>3135</v>
      </c>
      <c r="D274" s="359">
        <v>33993.0</v>
      </c>
      <c r="E274" s="358">
        <v>5.26674118E8</v>
      </c>
      <c r="F274" s="358" t="s">
        <v>3136</v>
      </c>
      <c r="G274" s="360" t="s">
        <v>1058</v>
      </c>
      <c r="H274" s="358" t="s">
        <v>3137</v>
      </c>
      <c r="I274" s="362" t="s">
        <v>3138</v>
      </c>
      <c r="J274" s="358">
        <v>8.203177E7</v>
      </c>
      <c r="K274" s="358" t="s">
        <v>3139</v>
      </c>
      <c r="L274" s="358" t="s">
        <v>3140</v>
      </c>
      <c r="M274" s="358" t="s">
        <v>1063</v>
      </c>
      <c r="N274" s="358" t="s">
        <v>3141</v>
      </c>
      <c r="O274" s="358" t="s">
        <v>3142</v>
      </c>
    </row>
    <row r="275">
      <c r="A275" s="358" t="s">
        <v>3143</v>
      </c>
      <c r="B275" s="358">
        <v>1211.0</v>
      </c>
      <c r="C275" s="358" t="s">
        <v>1272</v>
      </c>
      <c r="D275" s="359">
        <v>34803.0</v>
      </c>
      <c r="E275" s="358">
        <v>4.98069904E8</v>
      </c>
      <c r="F275" s="358" t="s">
        <v>3136</v>
      </c>
      <c r="G275" s="360" t="s">
        <v>1058</v>
      </c>
      <c r="H275" s="358" t="s">
        <v>3137</v>
      </c>
      <c r="I275" s="362" t="s">
        <v>3144</v>
      </c>
      <c r="J275" s="358">
        <v>8.2460183E7</v>
      </c>
      <c r="K275" s="358" t="s">
        <v>3145</v>
      </c>
      <c r="L275" s="358" t="s">
        <v>3146</v>
      </c>
      <c r="M275" s="358" t="s">
        <v>1151</v>
      </c>
      <c r="N275" s="358" t="s">
        <v>3147</v>
      </c>
      <c r="O275" s="358" t="s">
        <v>3148</v>
      </c>
    </row>
    <row r="276">
      <c r="A276" s="364" t="s">
        <v>3149</v>
      </c>
      <c r="B276" s="358">
        <v>614.0</v>
      </c>
      <c r="C276" s="358" t="s">
        <v>1448</v>
      </c>
      <c r="D276" s="359">
        <v>22107.0</v>
      </c>
      <c r="E276" s="358">
        <v>1.26248175E8</v>
      </c>
      <c r="F276" s="358" t="s">
        <v>1449</v>
      </c>
      <c r="G276" s="358" t="s">
        <v>74</v>
      </c>
      <c r="H276" s="358" t="s">
        <v>1450</v>
      </c>
      <c r="I276" s="361" t="s">
        <v>1652</v>
      </c>
      <c r="J276" s="358">
        <v>7.2252324E7</v>
      </c>
      <c r="K276" s="358" t="s">
        <v>3150</v>
      </c>
      <c r="L276" s="358" t="s">
        <v>1660</v>
      </c>
      <c r="M276" s="358" t="s">
        <v>1063</v>
      </c>
      <c r="N276" s="358" t="s">
        <v>3151</v>
      </c>
      <c r="O276" s="358" t="s">
        <v>1454</v>
      </c>
    </row>
    <row r="277">
      <c r="A277" s="358" t="s">
        <v>3152</v>
      </c>
      <c r="B277" s="358">
        <v>706.0</v>
      </c>
      <c r="C277" s="358" t="s">
        <v>3153</v>
      </c>
      <c r="D277" s="359">
        <v>24154.0</v>
      </c>
      <c r="E277" s="358">
        <v>3.62335254E8</v>
      </c>
      <c r="F277" s="358" t="s">
        <v>2185</v>
      </c>
      <c r="G277" s="358" t="s">
        <v>1574</v>
      </c>
      <c r="H277" s="358" t="s">
        <v>2186</v>
      </c>
      <c r="I277" s="362" t="s">
        <v>3154</v>
      </c>
      <c r="J277" s="358">
        <v>7.3757209E7</v>
      </c>
      <c r="K277" s="358" t="s">
        <v>3155</v>
      </c>
      <c r="L277" s="358" t="s">
        <v>3156</v>
      </c>
      <c r="M277" s="358" t="s">
        <v>1063</v>
      </c>
      <c r="N277" s="358" t="s">
        <v>3157</v>
      </c>
      <c r="O277" s="358" t="s">
        <v>2191</v>
      </c>
    </row>
    <row r="278">
      <c r="A278" s="358" t="s">
        <v>3158</v>
      </c>
      <c r="B278" s="358">
        <v>205.0</v>
      </c>
      <c r="C278" s="358" t="s">
        <v>2906</v>
      </c>
      <c r="D278" s="359">
        <v>26678.0</v>
      </c>
      <c r="E278" s="358">
        <v>2.93262135E8</v>
      </c>
      <c r="F278" s="358" t="s">
        <v>3159</v>
      </c>
      <c r="G278" s="360" t="s">
        <v>1058</v>
      </c>
      <c r="H278" s="358" t="s">
        <v>3160</v>
      </c>
      <c r="I278" s="362" t="s">
        <v>3161</v>
      </c>
      <c r="J278" s="358">
        <v>6.2860992E7</v>
      </c>
      <c r="K278" s="358" t="s">
        <v>3162</v>
      </c>
      <c r="L278" s="358" t="s">
        <v>3163</v>
      </c>
      <c r="M278" s="358" t="s">
        <v>1063</v>
      </c>
      <c r="N278" s="358" t="s">
        <v>3164</v>
      </c>
      <c r="O278" s="358" t="s">
        <v>1898</v>
      </c>
    </row>
    <row r="279">
      <c r="A279" s="358" t="s">
        <v>3165</v>
      </c>
      <c r="B279" s="358">
        <v>1609.0</v>
      </c>
      <c r="C279" s="358" t="s">
        <v>3166</v>
      </c>
      <c r="D279" s="359">
        <v>30297.0</v>
      </c>
      <c r="E279" s="358">
        <v>5.42546644E8</v>
      </c>
      <c r="F279" s="358" t="s">
        <v>3167</v>
      </c>
      <c r="G279" s="358" t="s">
        <v>2774</v>
      </c>
      <c r="H279" s="358" t="s">
        <v>3168</v>
      </c>
      <c r="I279" s="362" t="s">
        <v>3169</v>
      </c>
      <c r="J279" s="358">
        <v>9.3605013E7</v>
      </c>
      <c r="K279" s="358" t="s">
        <v>3170</v>
      </c>
      <c r="L279" s="358" t="s">
        <v>3171</v>
      </c>
      <c r="M279" s="358" t="s">
        <v>1063</v>
      </c>
      <c r="N279" s="358" t="s">
        <v>3172</v>
      </c>
      <c r="O279" s="358" t="s">
        <v>3173</v>
      </c>
    </row>
    <row r="280">
      <c r="A280" s="358" t="s">
        <v>3174</v>
      </c>
      <c r="B280" s="358">
        <v>17.0</v>
      </c>
      <c r="C280" s="358" t="s">
        <v>3175</v>
      </c>
      <c r="D280" s="359">
        <v>27051.0</v>
      </c>
      <c r="E280" s="358">
        <v>2.65413412E8</v>
      </c>
      <c r="F280" s="358" t="s">
        <v>3176</v>
      </c>
      <c r="G280" s="358" t="s">
        <v>2724</v>
      </c>
      <c r="H280" s="358" t="s">
        <v>3177</v>
      </c>
      <c r="I280" s="362" t="s">
        <v>3178</v>
      </c>
      <c r="J280" s="358">
        <v>2.7286136E7</v>
      </c>
      <c r="K280" s="358" t="s">
        <v>3179</v>
      </c>
      <c r="L280" s="358" t="s">
        <v>3180</v>
      </c>
      <c r="M280" s="358" t="s">
        <v>1063</v>
      </c>
      <c r="N280" s="358" t="s">
        <v>3181</v>
      </c>
      <c r="O280" s="358" t="s">
        <v>3182</v>
      </c>
    </row>
    <row r="281">
      <c r="A281" s="358" t="s">
        <v>3183</v>
      </c>
      <c r="B281" s="358">
        <v>968.0</v>
      </c>
      <c r="C281" s="358" t="s">
        <v>3184</v>
      </c>
      <c r="D281" s="359">
        <v>31049.0</v>
      </c>
      <c r="E281" s="358">
        <v>6.8350074E8</v>
      </c>
      <c r="F281" s="358" t="s">
        <v>3185</v>
      </c>
      <c r="G281" s="358" t="s">
        <v>1389</v>
      </c>
      <c r="H281" s="358" t="s">
        <v>3186</v>
      </c>
      <c r="I281" s="362" t="s">
        <v>3187</v>
      </c>
      <c r="J281" s="358">
        <v>7.7277244E7</v>
      </c>
      <c r="K281" s="358" t="s">
        <v>3188</v>
      </c>
      <c r="L281" s="358" t="s">
        <v>3189</v>
      </c>
      <c r="M281" s="358" t="s">
        <v>1063</v>
      </c>
      <c r="N281" s="358" t="s">
        <v>3190</v>
      </c>
      <c r="O281" s="358" t="s">
        <v>3191</v>
      </c>
    </row>
    <row r="282">
      <c r="A282" s="358" t="s">
        <v>3192</v>
      </c>
      <c r="B282" s="358">
        <v>775.0</v>
      </c>
      <c r="C282" s="358" t="s">
        <v>3049</v>
      </c>
      <c r="D282" s="359">
        <v>28790.0</v>
      </c>
      <c r="E282" s="358">
        <v>3.98636928E8</v>
      </c>
      <c r="F282" s="358" t="s">
        <v>3050</v>
      </c>
      <c r="G282" s="360" t="s">
        <v>1058</v>
      </c>
      <c r="H282" s="358" t="s">
        <v>3051</v>
      </c>
      <c r="I282" s="362" t="s">
        <v>3193</v>
      </c>
      <c r="J282" s="358">
        <v>7.4627465E7</v>
      </c>
      <c r="K282" s="358" t="s">
        <v>3194</v>
      </c>
      <c r="L282" s="358" t="s">
        <v>3195</v>
      </c>
      <c r="M282" s="358" t="s">
        <v>1063</v>
      </c>
      <c r="N282" s="358" t="s">
        <v>3196</v>
      </c>
      <c r="O282" s="358" t="s">
        <v>3055</v>
      </c>
    </row>
    <row r="283">
      <c r="A283" s="358" t="s">
        <v>3197</v>
      </c>
      <c r="B283" s="358">
        <v>1727.0</v>
      </c>
      <c r="C283" s="358" t="s">
        <v>3198</v>
      </c>
      <c r="D283" s="359">
        <v>29911.0</v>
      </c>
      <c r="E283" s="154"/>
      <c r="F283" s="358" t="s">
        <v>1379</v>
      </c>
      <c r="G283" s="358" t="s">
        <v>1380</v>
      </c>
      <c r="H283" s="358" t="s">
        <v>1381</v>
      </c>
      <c r="I283" s="362" t="s">
        <v>3199</v>
      </c>
      <c r="J283" s="358">
        <v>9.7407305E7</v>
      </c>
      <c r="K283" s="358" t="s">
        <v>1061</v>
      </c>
      <c r="L283" s="358" t="s">
        <v>3200</v>
      </c>
      <c r="M283" s="358" t="s">
        <v>1151</v>
      </c>
      <c r="N283" s="358" t="s">
        <v>3201</v>
      </c>
      <c r="O283" s="358" t="s">
        <v>3202</v>
      </c>
    </row>
    <row r="284">
      <c r="A284" s="358" t="s">
        <v>3203</v>
      </c>
      <c r="B284" s="358">
        <v>1599.0</v>
      </c>
      <c r="C284" s="358" t="s">
        <v>1508</v>
      </c>
      <c r="D284" s="359">
        <v>28168.0</v>
      </c>
      <c r="E284" s="358">
        <v>5.06169935E8</v>
      </c>
      <c r="F284" s="358" t="s">
        <v>3204</v>
      </c>
      <c r="G284" s="360" t="s">
        <v>1058</v>
      </c>
      <c r="H284" s="358" t="s">
        <v>3205</v>
      </c>
      <c r="I284" s="362" t="s">
        <v>3206</v>
      </c>
      <c r="J284" s="358">
        <v>9.2837042E7</v>
      </c>
      <c r="K284" s="358" t="s">
        <v>3207</v>
      </c>
      <c r="L284" s="358" t="s">
        <v>3208</v>
      </c>
      <c r="M284" s="358" t="s">
        <v>1063</v>
      </c>
      <c r="N284" s="358" t="s">
        <v>3209</v>
      </c>
      <c r="O284" s="358" t="s">
        <v>2862</v>
      </c>
    </row>
    <row r="285">
      <c r="A285" s="358" t="s">
        <v>3210</v>
      </c>
      <c r="B285" s="358">
        <v>965.0</v>
      </c>
      <c r="C285" s="358" t="s">
        <v>2697</v>
      </c>
      <c r="D285" s="359">
        <v>28138.0</v>
      </c>
      <c r="E285" s="358">
        <v>6.09048235E8</v>
      </c>
      <c r="F285" s="358" t="s">
        <v>3211</v>
      </c>
      <c r="G285" s="360" t="s">
        <v>1058</v>
      </c>
      <c r="H285" s="358" t="s">
        <v>3212</v>
      </c>
      <c r="I285" s="362" t="s">
        <v>3213</v>
      </c>
      <c r="J285" s="358">
        <v>7.7710533E7</v>
      </c>
      <c r="K285" s="358" t="s">
        <v>3214</v>
      </c>
      <c r="L285" s="358" t="s">
        <v>3215</v>
      </c>
      <c r="M285" s="358" t="s">
        <v>1063</v>
      </c>
      <c r="N285" s="358" t="s">
        <v>3216</v>
      </c>
      <c r="O285" s="358" t="s">
        <v>3217</v>
      </c>
    </row>
    <row r="286">
      <c r="A286" s="358" t="s">
        <v>3218</v>
      </c>
      <c r="B286" s="358">
        <v>1740.0</v>
      </c>
      <c r="C286" s="358" t="s">
        <v>3049</v>
      </c>
      <c r="D286" s="359">
        <v>28790.0</v>
      </c>
      <c r="E286" s="358">
        <v>3.98636928E8</v>
      </c>
      <c r="F286" s="358" t="s">
        <v>3050</v>
      </c>
      <c r="G286" s="360" t="s">
        <v>1058</v>
      </c>
      <c r="H286" s="358" t="s">
        <v>3051</v>
      </c>
      <c r="I286" s="361" t="s">
        <v>3219</v>
      </c>
      <c r="J286" s="358">
        <v>9.8523376E7</v>
      </c>
      <c r="K286" s="358" t="s">
        <v>1061</v>
      </c>
      <c r="L286" s="358" t="s">
        <v>3220</v>
      </c>
      <c r="M286" s="358" t="s">
        <v>1063</v>
      </c>
      <c r="N286" s="358" t="s">
        <v>3221</v>
      </c>
      <c r="O286" s="358" t="s">
        <v>3055</v>
      </c>
    </row>
    <row r="287">
      <c r="A287" s="358" t="s">
        <v>3222</v>
      </c>
      <c r="B287" s="358">
        <v>239.0</v>
      </c>
      <c r="C287" s="358" t="s">
        <v>1230</v>
      </c>
      <c r="D287" s="359">
        <v>33380.0</v>
      </c>
      <c r="E287" s="358">
        <v>4.9517413E8</v>
      </c>
      <c r="F287" s="358" t="s">
        <v>3223</v>
      </c>
      <c r="G287" s="358" t="s">
        <v>2724</v>
      </c>
      <c r="H287" s="358" t="s">
        <v>3224</v>
      </c>
      <c r="I287" s="362" t="s">
        <v>3225</v>
      </c>
      <c r="J287" s="358">
        <v>6.4213463E7</v>
      </c>
      <c r="K287" s="358" t="s">
        <v>3226</v>
      </c>
      <c r="L287" s="358" t="s">
        <v>3227</v>
      </c>
      <c r="M287" s="358" t="s">
        <v>1063</v>
      </c>
      <c r="N287" s="358" t="s">
        <v>3228</v>
      </c>
      <c r="O287" s="358" t="s">
        <v>3229</v>
      </c>
    </row>
    <row r="288">
      <c r="A288" s="358" t="s">
        <v>3230</v>
      </c>
      <c r="B288" s="358">
        <v>1293.0</v>
      </c>
      <c r="C288" s="358" t="s">
        <v>2971</v>
      </c>
      <c r="D288" s="359">
        <v>32575.0</v>
      </c>
      <c r="E288" s="358">
        <v>4.17594483E8</v>
      </c>
      <c r="F288" s="358" t="s">
        <v>3231</v>
      </c>
      <c r="G288" s="358" t="s">
        <v>74</v>
      </c>
      <c r="H288" s="358" t="s">
        <v>3232</v>
      </c>
      <c r="I288" s="362" t="s">
        <v>3233</v>
      </c>
      <c r="J288" s="358">
        <v>8.5769924E7</v>
      </c>
      <c r="K288" s="358" t="s">
        <v>3234</v>
      </c>
      <c r="L288" s="358" t="s">
        <v>3235</v>
      </c>
      <c r="M288" s="358" t="s">
        <v>1063</v>
      </c>
      <c r="N288" s="358" t="s">
        <v>3236</v>
      </c>
      <c r="O288" s="358" t="s">
        <v>3237</v>
      </c>
    </row>
    <row r="289">
      <c r="A289" s="358" t="s">
        <v>3238</v>
      </c>
      <c r="B289" s="358">
        <v>1335.0</v>
      </c>
      <c r="C289" s="358" t="s">
        <v>1781</v>
      </c>
      <c r="D289" s="359">
        <v>35250.0</v>
      </c>
      <c r="E289" s="358">
        <v>2.24058976E8</v>
      </c>
      <c r="F289" s="358" t="s">
        <v>3239</v>
      </c>
      <c r="G289" s="360" t="s">
        <v>1058</v>
      </c>
      <c r="H289" s="358" t="s">
        <v>3240</v>
      </c>
      <c r="I289" s="362" t="s">
        <v>3241</v>
      </c>
      <c r="J289" s="358">
        <v>8.512731E7</v>
      </c>
      <c r="K289" s="358" t="s">
        <v>3242</v>
      </c>
      <c r="L289" s="358" t="s">
        <v>3243</v>
      </c>
      <c r="M289" s="358" t="s">
        <v>1151</v>
      </c>
      <c r="N289" s="358" t="s">
        <v>3244</v>
      </c>
      <c r="O289" s="358" t="s">
        <v>3245</v>
      </c>
    </row>
    <row r="290">
      <c r="A290" s="358" t="s">
        <v>3246</v>
      </c>
      <c r="B290" s="358">
        <v>1411.0</v>
      </c>
      <c r="C290" s="358" t="s">
        <v>3247</v>
      </c>
      <c r="D290" s="359">
        <v>31136.0</v>
      </c>
      <c r="E290" s="358">
        <v>5.79360258E8</v>
      </c>
      <c r="F290" s="358" t="s">
        <v>3248</v>
      </c>
      <c r="G290" s="358" t="s">
        <v>1574</v>
      </c>
      <c r="H290" s="358" t="s">
        <v>3249</v>
      </c>
      <c r="I290" s="362" t="s">
        <v>3250</v>
      </c>
      <c r="J290" s="358">
        <v>8.7499789E7</v>
      </c>
      <c r="K290" s="358" t="s">
        <v>3251</v>
      </c>
      <c r="L290" s="358" t="s">
        <v>3252</v>
      </c>
      <c r="M290" s="358" t="s">
        <v>1063</v>
      </c>
      <c r="N290" s="358" t="s">
        <v>3253</v>
      </c>
      <c r="O290" s="358" t="s">
        <v>3246</v>
      </c>
    </row>
    <row r="291">
      <c r="A291" s="358" t="s">
        <v>3254</v>
      </c>
      <c r="B291" s="358">
        <v>1069.0</v>
      </c>
      <c r="C291" s="358" t="s">
        <v>1978</v>
      </c>
      <c r="D291" s="359">
        <v>29510.0</v>
      </c>
      <c r="E291" s="358">
        <v>3.76871192E8</v>
      </c>
      <c r="F291" s="358" t="s">
        <v>3255</v>
      </c>
      <c r="G291" s="360" t="s">
        <v>1058</v>
      </c>
      <c r="H291" s="358" t="s">
        <v>3256</v>
      </c>
      <c r="I291" s="362" t="s">
        <v>3257</v>
      </c>
      <c r="J291" s="358">
        <v>7.4445944E7</v>
      </c>
      <c r="K291" s="358" t="s">
        <v>3258</v>
      </c>
      <c r="L291" s="358" t="s">
        <v>3259</v>
      </c>
      <c r="M291" s="358" t="s">
        <v>1151</v>
      </c>
      <c r="N291" s="358" t="s">
        <v>3260</v>
      </c>
      <c r="O291" s="358" t="s">
        <v>3261</v>
      </c>
    </row>
    <row r="292">
      <c r="A292" s="358" t="s">
        <v>3262</v>
      </c>
      <c r="B292" s="358">
        <v>1632.0</v>
      </c>
      <c r="C292" s="358" t="s">
        <v>2006</v>
      </c>
      <c r="D292" s="359">
        <v>30993.0</v>
      </c>
      <c r="E292" s="358">
        <v>5.6872665E8</v>
      </c>
      <c r="F292" s="358" t="s">
        <v>3263</v>
      </c>
      <c r="G292" s="360" t="s">
        <v>1058</v>
      </c>
      <c r="H292" s="358" t="s">
        <v>3264</v>
      </c>
      <c r="I292" s="362" t="s">
        <v>3265</v>
      </c>
      <c r="J292" s="358">
        <v>9.387627E7</v>
      </c>
      <c r="K292" s="358" t="s">
        <v>3266</v>
      </c>
      <c r="L292" s="358" t="s">
        <v>3267</v>
      </c>
      <c r="M292" s="358" t="s">
        <v>1063</v>
      </c>
      <c r="N292" s="358" t="s">
        <v>3268</v>
      </c>
      <c r="O292" s="358" t="s">
        <v>3269</v>
      </c>
    </row>
    <row r="293">
      <c r="A293" s="358" t="s">
        <v>3270</v>
      </c>
      <c r="B293" s="358">
        <v>701.0</v>
      </c>
      <c r="C293" s="358" t="s">
        <v>1795</v>
      </c>
      <c r="D293" s="359">
        <v>33106.0</v>
      </c>
      <c r="E293" s="358">
        <v>6.27964345E8</v>
      </c>
      <c r="F293" s="358" t="s">
        <v>2390</v>
      </c>
      <c r="G293" s="358" t="s">
        <v>2391</v>
      </c>
      <c r="H293" s="358" t="s">
        <v>2392</v>
      </c>
      <c r="I293" s="362" t="s">
        <v>3271</v>
      </c>
      <c r="J293" s="358">
        <v>7.3787493E7</v>
      </c>
      <c r="K293" s="358" t="s">
        <v>3272</v>
      </c>
      <c r="L293" s="358" t="s">
        <v>3273</v>
      </c>
      <c r="M293" s="358" t="s">
        <v>1063</v>
      </c>
      <c r="N293" s="358" t="s">
        <v>3274</v>
      </c>
      <c r="O293" s="358" t="s">
        <v>3275</v>
      </c>
    </row>
    <row r="294">
      <c r="A294" s="358" t="s">
        <v>3276</v>
      </c>
      <c r="B294" s="358">
        <v>365.0</v>
      </c>
      <c r="C294" s="358" t="s">
        <v>3277</v>
      </c>
      <c r="D294" s="359">
        <v>30853.0</v>
      </c>
      <c r="E294" s="358">
        <v>4.07375442E8</v>
      </c>
      <c r="F294" s="358" t="s">
        <v>3278</v>
      </c>
      <c r="G294" s="358" t="s">
        <v>1389</v>
      </c>
      <c r="H294" s="358" t="s">
        <v>3279</v>
      </c>
      <c r="I294" s="362" t="s">
        <v>3280</v>
      </c>
      <c r="J294" s="358">
        <v>6.6263069E7</v>
      </c>
      <c r="K294" s="358" t="s">
        <v>3281</v>
      </c>
      <c r="L294" s="358" t="s">
        <v>3282</v>
      </c>
      <c r="M294" s="358" t="s">
        <v>1063</v>
      </c>
      <c r="N294" s="358" t="s">
        <v>3283</v>
      </c>
      <c r="O294" s="358" t="s">
        <v>2174</v>
      </c>
    </row>
    <row r="295">
      <c r="A295" s="358" t="s">
        <v>3284</v>
      </c>
      <c r="B295" s="358">
        <v>1422.0</v>
      </c>
      <c r="C295" s="358" t="s">
        <v>3285</v>
      </c>
      <c r="D295" s="359">
        <v>34422.0</v>
      </c>
      <c r="E295" s="358">
        <v>5.33943231E8</v>
      </c>
      <c r="F295" s="358" t="s">
        <v>3286</v>
      </c>
      <c r="G295" s="358" t="s">
        <v>1265</v>
      </c>
      <c r="H295" s="358" t="s">
        <v>3287</v>
      </c>
      <c r="I295" s="362" t="s">
        <v>3288</v>
      </c>
      <c r="J295" s="358">
        <v>8.7980983E7</v>
      </c>
      <c r="K295" s="358" t="s">
        <v>3289</v>
      </c>
      <c r="L295" s="358" t="s">
        <v>3290</v>
      </c>
      <c r="M295" s="358" t="s">
        <v>1063</v>
      </c>
      <c r="N295" s="358" t="s">
        <v>3291</v>
      </c>
      <c r="O295" s="358" t="s">
        <v>1960</v>
      </c>
    </row>
    <row r="296">
      <c r="A296" s="358" t="s">
        <v>3292</v>
      </c>
      <c r="B296" s="358">
        <v>1260.0</v>
      </c>
      <c r="C296" s="358" t="s">
        <v>1311</v>
      </c>
      <c r="D296" s="359">
        <v>28563.0</v>
      </c>
      <c r="E296" s="358">
        <v>4.51123736E8</v>
      </c>
      <c r="F296" s="358" t="s">
        <v>3293</v>
      </c>
      <c r="G296" s="360" t="s">
        <v>1058</v>
      </c>
      <c r="H296" s="358" t="s">
        <v>3294</v>
      </c>
      <c r="I296" s="362" t="s">
        <v>3295</v>
      </c>
      <c r="J296" s="358">
        <v>8.5319732E7</v>
      </c>
      <c r="K296" s="358" t="s">
        <v>3296</v>
      </c>
      <c r="L296" s="358" t="s">
        <v>3297</v>
      </c>
      <c r="M296" s="358" t="s">
        <v>1063</v>
      </c>
      <c r="N296" s="358" t="s">
        <v>3298</v>
      </c>
      <c r="O296" s="358" t="s">
        <v>1144</v>
      </c>
    </row>
    <row r="297">
      <c r="A297" s="358" t="s">
        <v>3299</v>
      </c>
      <c r="B297" s="358">
        <v>1219.0</v>
      </c>
      <c r="C297" s="358" t="s">
        <v>2962</v>
      </c>
      <c r="D297" s="359">
        <v>30008.0</v>
      </c>
      <c r="E297" s="358">
        <v>6.42807103E8</v>
      </c>
      <c r="F297" s="358" t="s">
        <v>3300</v>
      </c>
      <c r="G297" s="358" t="s">
        <v>1265</v>
      </c>
      <c r="H297" s="358" t="s">
        <v>3301</v>
      </c>
      <c r="I297" s="362" t="s">
        <v>3302</v>
      </c>
      <c r="J297" s="358">
        <v>8.3585664E7</v>
      </c>
      <c r="K297" s="358" t="s">
        <v>3303</v>
      </c>
      <c r="L297" s="358" t="s">
        <v>3304</v>
      </c>
      <c r="M297" s="358" t="s">
        <v>1063</v>
      </c>
      <c r="N297" s="358" t="s">
        <v>3305</v>
      </c>
      <c r="O297" s="358" t="s">
        <v>2978</v>
      </c>
    </row>
    <row r="298">
      <c r="A298" s="358" t="s">
        <v>3306</v>
      </c>
      <c r="B298" s="358">
        <v>1716.0</v>
      </c>
      <c r="C298" s="358" t="s">
        <v>2090</v>
      </c>
      <c r="D298" s="359">
        <v>32340.0</v>
      </c>
      <c r="E298" s="358">
        <v>5.85923905E8</v>
      </c>
      <c r="F298" s="358" t="s">
        <v>3307</v>
      </c>
      <c r="G298" s="360" t="s">
        <v>1058</v>
      </c>
      <c r="H298" s="358" t="s">
        <v>3308</v>
      </c>
      <c r="I298" s="362" t="s">
        <v>3309</v>
      </c>
      <c r="J298" s="358">
        <v>9.7806927E7</v>
      </c>
      <c r="K298" s="358" t="s">
        <v>3310</v>
      </c>
      <c r="L298" s="358" t="s">
        <v>3311</v>
      </c>
      <c r="M298" s="358" t="s">
        <v>1063</v>
      </c>
      <c r="N298" s="358" t="s">
        <v>3312</v>
      </c>
      <c r="O298" s="358" t="s">
        <v>1080</v>
      </c>
    </row>
    <row r="299">
      <c r="A299" s="358" t="s">
        <v>3313</v>
      </c>
      <c r="B299" s="358">
        <v>1743.0</v>
      </c>
      <c r="C299" s="358" t="s">
        <v>3277</v>
      </c>
      <c r="D299" s="359">
        <v>37634.0</v>
      </c>
      <c r="E299" s="358">
        <v>2.94892564E8</v>
      </c>
      <c r="F299" s="358" t="s">
        <v>2167</v>
      </c>
      <c r="G299" s="360" t="s">
        <v>1058</v>
      </c>
      <c r="H299" s="358" t="s">
        <v>2169</v>
      </c>
      <c r="I299" s="362" t="s">
        <v>3314</v>
      </c>
      <c r="J299" s="358">
        <v>9.7678481E7</v>
      </c>
      <c r="K299" s="358" t="s">
        <v>3315</v>
      </c>
      <c r="L299" s="358" t="s">
        <v>3316</v>
      </c>
      <c r="M299" s="358" t="s">
        <v>1151</v>
      </c>
      <c r="N299" s="358" t="s">
        <v>3317</v>
      </c>
      <c r="O299" s="358" t="s">
        <v>3318</v>
      </c>
    </row>
    <row r="300">
      <c r="A300" s="358" t="s">
        <v>3319</v>
      </c>
      <c r="B300" s="358">
        <v>1717.0</v>
      </c>
      <c r="C300" s="358" t="s">
        <v>1639</v>
      </c>
      <c r="D300" s="359">
        <v>33859.0</v>
      </c>
      <c r="E300" s="358">
        <v>4.24349486E8</v>
      </c>
      <c r="F300" s="358" t="s">
        <v>3320</v>
      </c>
      <c r="G300" s="360" t="s">
        <v>1058</v>
      </c>
      <c r="H300" s="358" t="s">
        <v>3321</v>
      </c>
      <c r="I300" s="362" t="s">
        <v>3322</v>
      </c>
      <c r="J300" s="358">
        <v>9.7146455E7</v>
      </c>
      <c r="K300" s="358" t="s">
        <v>3323</v>
      </c>
      <c r="L300" s="358" t="s">
        <v>3324</v>
      </c>
      <c r="M300" s="358" t="s">
        <v>1151</v>
      </c>
      <c r="N300" s="358" t="s">
        <v>3325</v>
      </c>
      <c r="O300" s="358" t="s">
        <v>3326</v>
      </c>
    </row>
    <row r="301">
      <c r="A301" s="358" t="s">
        <v>3327</v>
      </c>
      <c r="B301" s="358">
        <v>658.0</v>
      </c>
      <c r="C301" s="358" t="s">
        <v>3122</v>
      </c>
      <c r="D301" s="359">
        <v>33767.0</v>
      </c>
      <c r="E301" s="358">
        <v>6.85776827E8</v>
      </c>
      <c r="F301" s="358" t="s">
        <v>3328</v>
      </c>
      <c r="G301" s="358" t="s">
        <v>3329</v>
      </c>
      <c r="H301" s="358" t="s">
        <v>3330</v>
      </c>
      <c r="I301" s="362" t="s">
        <v>3331</v>
      </c>
      <c r="J301" s="358">
        <v>7.2910151E7</v>
      </c>
      <c r="K301" s="358" t="s">
        <v>3332</v>
      </c>
      <c r="L301" s="358" t="s">
        <v>3333</v>
      </c>
      <c r="M301" s="358" t="s">
        <v>1063</v>
      </c>
      <c r="N301" s="358" t="s">
        <v>3334</v>
      </c>
      <c r="O301" s="358" t="s">
        <v>3335</v>
      </c>
    </row>
    <row r="302">
      <c r="A302" s="358" t="s">
        <v>3336</v>
      </c>
      <c r="B302" s="358">
        <v>1320.0</v>
      </c>
      <c r="C302" s="358" t="s">
        <v>3337</v>
      </c>
      <c r="D302" s="359">
        <v>31086.0</v>
      </c>
      <c r="E302" s="358">
        <v>5.0452486E8</v>
      </c>
      <c r="F302" s="358" t="s">
        <v>3338</v>
      </c>
      <c r="G302" s="358" t="s">
        <v>2774</v>
      </c>
      <c r="H302" s="358" t="s">
        <v>3339</v>
      </c>
      <c r="I302" s="362" t="s">
        <v>3340</v>
      </c>
      <c r="J302" s="358">
        <v>8.5759708E7</v>
      </c>
      <c r="K302" s="358" t="s">
        <v>3341</v>
      </c>
      <c r="L302" s="358" t="s">
        <v>3342</v>
      </c>
      <c r="M302" s="358" t="s">
        <v>1063</v>
      </c>
      <c r="N302" s="358" t="s">
        <v>3343</v>
      </c>
      <c r="O302" s="358" t="s">
        <v>2855</v>
      </c>
    </row>
    <row r="303">
      <c r="A303" s="358" t="s">
        <v>3344</v>
      </c>
      <c r="B303" s="358">
        <v>1158.0</v>
      </c>
      <c r="C303" s="358" t="s">
        <v>3345</v>
      </c>
      <c r="D303" s="359">
        <v>31747.0</v>
      </c>
      <c r="E303" s="358">
        <v>5.47428315E8</v>
      </c>
      <c r="F303" s="358" t="s">
        <v>3346</v>
      </c>
      <c r="G303" s="360" t="s">
        <v>1058</v>
      </c>
      <c r="H303" s="358" t="s">
        <v>3347</v>
      </c>
      <c r="I303" s="362" t="s">
        <v>3348</v>
      </c>
      <c r="J303" s="358">
        <v>8.2472653E7</v>
      </c>
      <c r="K303" s="358" t="s">
        <v>3349</v>
      </c>
      <c r="L303" s="358" t="s">
        <v>3350</v>
      </c>
      <c r="M303" s="358" t="s">
        <v>1151</v>
      </c>
      <c r="N303" s="358" t="s">
        <v>3351</v>
      </c>
      <c r="O303" s="358" t="s">
        <v>3352</v>
      </c>
    </row>
    <row r="304">
      <c r="A304" s="358" t="s">
        <v>3353</v>
      </c>
      <c r="B304" s="358">
        <v>237.0</v>
      </c>
      <c r="C304" s="358" t="s">
        <v>2006</v>
      </c>
      <c r="D304" s="359">
        <v>24575.0</v>
      </c>
      <c r="E304" s="358">
        <v>3.2645142E8</v>
      </c>
      <c r="F304" s="358" t="s">
        <v>3354</v>
      </c>
      <c r="G304" s="358" t="s">
        <v>1565</v>
      </c>
      <c r="H304" s="358" t="s">
        <v>1566</v>
      </c>
      <c r="I304" s="362" t="s">
        <v>3355</v>
      </c>
      <c r="J304" s="358">
        <v>6.391789E7</v>
      </c>
      <c r="K304" s="358" t="s">
        <v>3356</v>
      </c>
      <c r="L304" s="358" t="s">
        <v>3357</v>
      </c>
      <c r="M304" s="358" t="s">
        <v>1063</v>
      </c>
      <c r="N304" s="358" t="s">
        <v>3358</v>
      </c>
      <c r="O304" s="358" t="s">
        <v>3359</v>
      </c>
    </row>
    <row r="305">
      <c r="A305" s="358" t="s">
        <v>3360</v>
      </c>
      <c r="B305" s="358">
        <v>562.0</v>
      </c>
      <c r="C305" s="358" t="s">
        <v>3049</v>
      </c>
      <c r="D305" s="359">
        <v>29725.0</v>
      </c>
      <c r="E305" s="358">
        <v>2.64251246E8</v>
      </c>
      <c r="F305" s="358" t="s">
        <v>3361</v>
      </c>
      <c r="G305" s="360" t="s">
        <v>1058</v>
      </c>
      <c r="H305" s="358" t="s">
        <v>3362</v>
      </c>
      <c r="I305" s="362" t="s">
        <v>3363</v>
      </c>
      <c r="J305" s="358">
        <v>6.8610599E7</v>
      </c>
      <c r="K305" s="358" t="s">
        <v>3364</v>
      </c>
      <c r="L305" s="358" t="s">
        <v>3365</v>
      </c>
      <c r="M305" s="358" t="s">
        <v>1063</v>
      </c>
      <c r="N305" s="358" t="s">
        <v>3366</v>
      </c>
      <c r="O305" s="358" t="s">
        <v>1771</v>
      </c>
    </row>
    <row r="306">
      <c r="A306" s="358" t="s">
        <v>3367</v>
      </c>
      <c r="B306" s="358">
        <v>1100.0</v>
      </c>
      <c r="C306" s="358" t="s">
        <v>1481</v>
      </c>
      <c r="D306" s="359">
        <v>36014.0</v>
      </c>
      <c r="E306" s="358">
        <v>3.2488471E8</v>
      </c>
      <c r="F306" s="358" t="s">
        <v>3368</v>
      </c>
      <c r="G306" s="360" t="s">
        <v>1058</v>
      </c>
      <c r="H306" s="358" t="s">
        <v>3369</v>
      </c>
      <c r="I306" s="362" t="s">
        <v>3370</v>
      </c>
      <c r="J306" s="358">
        <v>8.198806E7</v>
      </c>
      <c r="K306" s="358" t="s">
        <v>3371</v>
      </c>
      <c r="L306" s="358" t="s">
        <v>3372</v>
      </c>
      <c r="M306" s="358" t="s">
        <v>1063</v>
      </c>
      <c r="N306" s="358" t="s">
        <v>3373</v>
      </c>
      <c r="O306" s="358" t="s">
        <v>3374</v>
      </c>
    </row>
    <row r="307">
      <c r="A307" s="358" t="s">
        <v>3375</v>
      </c>
      <c r="B307" s="358">
        <v>1166.0</v>
      </c>
      <c r="C307" s="358" t="s">
        <v>1962</v>
      </c>
      <c r="D307" s="359">
        <v>32945.0</v>
      </c>
      <c r="E307" s="358">
        <v>4.86963949E8</v>
      </c>
      <c r="F307" s="358" t="s">
        <v>3376</v>
      </c>
      <c r="G307" s="360" t="s">
        <v>1058</v>
      </c>
      <c r="H307" s="358" t="s">
        <v>3377</v>
      </c>
      <c r="I307" s="362" t="s">
        <v>3378</v>
      </c>
      <c r="J307" s="358">
        <v>8.2452172E7</v>
      </c>
      <c r="K307" s="358" t="s">
        <v>3379</v>
      </c>
      <c r="L307" s="358" t="s">
        <v>3380</v>
      </c>
      <c r="M307" s="358" t="s">
        <v>1063</v>
      </c>
      <c r="N307" s="358" t="s">
        <v>3381</v>
      </c>
      <c r="O307" s="358" t="s">
        <v>1968</v>
      </c>
    </row>
    <row r="308">
      <c r="A308" s="358" t="s">
        <v>3382</v>
      </c>
      <c r="B308" s="358">
        <v>1453.0</v>
      </c>
      <c r="C308" s="358" t="s">
        <v>3277</v>
      </c>
      <c r="D308" s="359">
        <v>31467.0</v>
      </c>
      <c r="E308" s="358">
        <v>3.95821393E8</v>
      </c>
      <c r="F308" s="358" t="s">
        <v>3383</v>
      </c>
      <c r="G308" s="360" t="s">
        <v>1058</v>
      </c>
      <c r="H308" s="358" t="s">
        <v>3384</v>
      </c>
      <c r="I308" s="362" t="s">
        <v>3385</v>
      </c>
      <c r="J308" s="358">
        <v>9.6322217E7</v>
      </c>
      <c r="K308" s="358" t="s">
        <v>3386</v>
      </c>
      <c r="L308" s="358" t="s">
        <v>3387</v>
      </c>
      <c r="M308" s="358" t="s">
        <v>1063</v>
      </c>
      <c r="N308" s="358" t="s">
        <v>3388</v>
      </c>
      <c r="O308" s="358" t="s">
        <v>2312</v>
      </c>
    </row>
    <row r="309">
      <c r="A309" s="358" t="s">
        <v>3389</v>
      </c>
      <c r="B309" s="358">
        <v>768.0</v>
      </c>
      <c r="C309" s="358" t="s">
        <v>3285</v>
      </c>
      <c r="D309" s="359">
        <v>31245.0</v>
      </c>
      <c r="E309" s="358">
        <v>5.78376106E8</v>
      </c>
      <c r="F309" s="358" t="s">
        <v>3390</v>
      </c>
      <c r="G309" s="360" t="s">
        <v>1058</v>
      </c>
      <c r="H309" s="358" t="s">
        <v>3391</v>
      </c>
      <c r="I309" s="362" t="s">
        <v>3392</v>
      </c>
      <c r="J309" s="358">
        <v>9.6001801E7</v>
      </c>
      <c r="K309" s="358" t="s">
        <v>3393</v>
      </c>
      <c r="L309" s="358" t="s">
        <v>3394</v>
      </c>
      <c r="M309" s="358" t="s">
        <v>1063</v>
      </c>
      <c r="N309" s="358" t="s">
        <v>3395</v>
      </c>
      <c r="O309" s="358" t="s">
        <v>3396</v>
      </c>
    </row>
    <row r="310">
      <c r="A310" s="358" t="s">
        <v>3397</v>
      </c>
      <c r="B310" s="358">
        <v>506.0</v>
      </c>
      <c r="C310" s="358" t="s">
        <v>3398</v>
      </c>
      <c r="D310" s="359">
        <v>29058.0</v>
      </c>
      <c r="E310" s="358">
        <v>3.61067173E8</v>
      </c>
      <c r="F310" s="358" t="s">
        <v>3399</v>
      </c>
      <c r="G310" s="358" t="s">
        <v>1574</v>
      </c>
      <c r="H310" s="358" t="s">
        <v>3400</v>
      </c>
      <c r="I310" s="362" t="s">
        <v>3401</v>
      </c>
      <c r="J310" s="358">
        <v>7.0529418E7</v>
      </c>
      <c r="K310" s="358" t="s">
        <v>3402</v>
      </c>
      <c r="L310" s="358" t="s">
        <v>3403</v>
      </c>
      <c r="M310" s="358" t="s">
        <v>1063</v>
      </c>
      <c r="N310" s="358" t="s">
        <v>3404</v>
      </c>
      <c r="O310" s="358" t="s">
        <v>3405</v>
      </c>
    </row>
    <row r="311">
      <c r="A311" s="358" t="s">
        <v>3406</v>
      </c>
      <c r="B311" s="358">
        <v>1518.0</v>
      </c>
      <c r="C311" s="358" t="s">
        <v>3184</v>
      </c>
      <c r="D311" s="359">
        <v>31365.0</v>
      </c>
      <c r="E311" s="358">
        <v>6.07405181E8</v>
      </c>
      <c r="F311" s="358" t="s">
        <v>3407</v>
      </c>
      <c r="G311" s="358" t="s">
        <v>3408</v>
      </c>
      <c r="H311" s="358" t="s">
        <v>3409</v>
      </c>
      <c r="I311" s="362" t="s">
        <v>3410</v>
      </c>
      <c r="J311" s="358">
        <v>9.08276E7</v>
      </c>
      <c r="K311" s="358" t="s">
        <v>3411</v>
      </c>
      <c r="L311" s="358" t="s">
        <v>3412</v>
      </c>
      <c r="M311" s="358" t="s">
        <v>1063</v>
      </c>
      <c r="N311" s="358" t="s">
        <v>3413</v>
      </c>
      <c r="O311" s="358" t="s">
        <v>3414</v>
      </c>
    </row>
    <row r="312">
      <c r="A312" s="358" t="s">
        <v>3415</v>
      </c>
      <c r="B312" s="358">
        <v>497.0</v>
      </c>
      <c r="C312" s="358" t="s">
        <v>3122</v>
      </c>
      <c r="D312" s="359">
        <v>27418.0</v>
      </c>
      <c r="E312" s="358">
        <v>3.83228438E8</v>
      </c>
      <c r="F312" s="358" t="s">
        <v>3416</v>
      </c>
      <c r="G312" s="360" t="s">
        <v>1058</v>
      </c>
      <c r="H312" s="358" t="s">
        <v>3417</v>
      </c>
      <c r="I312" s="362" t="s">
        <v>3418</v>
      </c>
      <c r="J312" s="358">
        <v>7.0594112E7</v>
      </c>
      <c r="K312" s="358" t="s">
        <v>3419</v>
      </c>
      <c r="L312" s="358" t="s">
        <v>3420</v>
      </c>
      <c r="M312" s="358" t="s">
        <v>1063</v>
      </c>
      <c r="N312" s="358" t="s">
        <v>3421</v>
      </c>
      <c r="O312" s="358" t="s">
        <v>3422</v>
      </c>
    </row>
    <row r="313">
      <c r="A313" s="358" t="s">
        <v>3423</v>
      </c>
      <c r="B313" s="358">
        <v>1350.0</v>
      </c>
      <c r="C313" s="358" t="s">
        <v>1639</v>
      </c>
      <c r="D313" s="359">
        <v>24175.0</v>
      </c>
      <c r="E313" s="358">
        <v>2.97516152E8</v>
      </c>
      <c r="F313" s="358" t="s">
        <v>3424</v>
      </c>
      <c r="G313" s="358" t="s">
        <v>3425</v>
      </c>
      <c r="H313" s="358" t="s">
        <v>3426</v>
      </c>
      <c r="I313" s="362" t="s">
        <v>3427</v>
      </c>
      <c r="J313" s="358">
        <v>8.6503936E7</v>
      </c>
      <c r="K313" s="358" t="s">
        <v>3428</v>
      </c>
      <c r="L313" s="358" t="s">
        <v>3429</v>
      </c>
      <c r="M313" s="358" t="s">
        <v>1063</v>
      </c>
      <c r="N313" s="358" t="s">
        <v>3430</v>
      </c>
      <c r="O313" s="358" t="s">
        <v>2594</v>
      </c>
    </row>
    <row r="314">
      <c r="A314" s="358" t="s">
        <v>3431</v>
      </c>
      <c r="B314" s="358">
        <v>600.0</v>
      </c>
      <c r="C314" s="358" t="s">
        <v>1138</v>
      </c>
      <c r="D314" s="359">
        <v>31913.0</v>
      </c>
      <c r="E314" s="358">
        <v>5.19442003E8</v>
      </c>
      <c r="F314" s="358" t="s">
        <v>3432</v>
      </c>
      <c r="G314" s="358" t="s">
        <v>2168</v>
      </c>
      <c r="H314" s="358" t="s">
        <v>3433</v>
      </c>
      <c r="I314" s="362" t="s">
        <v>3434</v>
      </c>
      <c r="J314" s="358">
        <v>7.1924205E7</v>
      </c>
      <c r="K314" s="358" t="s">
        <v>3435</v>
      </c>
      <c r="L314" s="358" t="s">
        <v>3436</v>
      </c>
      <c r="M314" s="358" t="s">
        <v>1063</v>
      </c>
      <c r="N314" s="358" t="s">
        <v>3437</v>
      </c>
      <c r="O314" s="358" t="s">
        <v>3438</v>
      </c>
    </row>
    <row r="315">
      <c r="A315" s="358" t="s">
        <v>3439</v>
      </c>
      <c r="B315" s="358">
        <v>934.0</v>
      </c>
      <c r="C315" s="358" t="s">
        <v>3398</v>
      </c>
      <c r="D315" s="359">
        <v>30000.0</v>
      </c>
      <c r="E315" s="358">
        <v>3.69317713E8</v>
      </c>
      <c r="F315" s="358" t="s">
        <v>3440</v>
      </c>
      <c r="G315" s="360" t="s">
        <v>1058</v>
      </c>
      <c r="H315" s="358" t="s">
        <v>3441</v>
      </c>
      <c r="I315" s="362" t="s">
        <v>3442</v>
      </c>
      <c r="J315" s="358">
        <v>7.7475631E7</v>
      </c>
      <c r="K315" s="358" t="s">
        <v>3443</v>
      </c>
      <c r="L315" s="358" t="s">
        <v>3444</v>
      </c>
      <c r="M315" s="358" t="s">
        <v>1063</v>
      </c>
      <c r="N315" s="358" t="s">
        <v>3445</v>
      </c>
      <c r="O315" s="358" t="s">
        <v>2216</v>
      </c>
    </row>
    <row r="316">
      <c r="A316" s="358" t="s">
        <v>3446</v>
      </c>
      <c r="B316" s="358">
        <v>478.0</v>
      </c>
      <c r="C316" s="358" t="s">
        <v>2766</v>
      </c>
      <c r="D316" s="359">
        <v>29507.0</v>
      </c>
      <c r="E316" s="358">
        <v>3.0682414E8</v>
      </c>
      <c r="F316" s="358" t="s">
        <v>2840</v>
      </c>
      <c r="G316" s="358" t="s">
        <v>2724</v>
      </c>
      <c r="H316" s="358" t="s">
        <v>2841</v>
      </c>
      <c r="I316" s="362" t="s">
        <v>2769</v>
      </c>
      <c r="J316" s="358">
        <v>7.0157456E7</v>
      </c>
      <c r="K316" s="358" t="s">
        <v>3447</v>
      </c>
      <c r="L316" s="358" t="s">
        <v>3448</v>
      </c>
      <c r="M316" s="358" t="s">
        <v>1063</v>
      </c>
      <c r="N316" s="358" t="s">
        <v>3449</v>
      </c>
      <c r="O316" s="358" t="s">
        <v>1080</v>
      </c>
    </row>
    <row r="317">
      <c r="A317" s="358" t="s">
        <v>3450</v>
      </c>
      <c r="B317" s="358">
        <v>764.0</v>
      </c>
      <c r="C317" s="358" t="s">
        <v>3337</v>
      </c>
      <c r="D317" s="359">
        <v>26274.0</v>
      </c>
      <c r="E317" s="358">
        <v>6.91636503E8</v>
      </c>
      <c r="F317" s="358" t="s">
        <v>3451</v>
      </c>
      <c r="G317" s="358" t="s">
        <v>74</v>
      </c>
      <c r="H317" s="358" t="s">
        <v>3452</v>
      </c>
      <c r="I317" s="362" t="s">
        <v>3453</v>
      </c>
      <c r="J317" s="358">
        <v>7.4630881E7</v>
      </c>
      <c r="K317" s="358" t="s">
        <v>3454</v>
      </c>
      <c r="L317" s="358" t="s">
        <v>3455</v>
      </c>
      <c r="M317" s="358" t="s">
        <v>1063</v>
      </c>
      <c r="N317" s="358" t="s">
        <v>3456</v>
      </c>
      <c r="O317" s="358" t="s">
        <v>3457</v>
      </c>
    </row>
    <row r="318">
      <c r="A318" s="358" t="s">
        <v>3458</v>
      </c>
      <c r="B318" s="358">
        <v>1510.0</v>
      </c>
      <c r="C318" s="358" t="s">
        <v>3459</v>
      </c>
      <c r="D318" s="359">
        <v>38213.0</v>
      </c>
      <c r="E318" s="358">
        <v>5.55475001E8</v>
      </c>
      <c r="F318" s="358" t="s">
        <v>3460</v>
      </c>
      <c r="G318" s="360" t="s">
        <v>1058</v>
      </c>
      <c r="H318" s="358" t="s">
        <v>3461</v>
      </c>
      <c r="I318" s="361" t="s">
        <v>3462</v>
      </c>
      <c r="J318" s="358">
        <v>9.0635779E7</v>
      </c>
      <c r="K318" s="358" t="s">
        <v>3463</v>
      </c>
      <c r="L318" s="358" t="s">
        <v>3464</v>
      </c>
      <c r="M318" s="358" t="s">
        <v>1063</v>
      </c>
      <c r="N318" s="358" t="s">
        <v>3465</v>
      </c>
      <c r="O318" s="358" t="s">
        <v>3466</v>
      </c>
    </row>
    <row r="319">
      <c r="A319" s="358" t="s">
        <v>3467</v>
      </c>
      <c r="B319" s="358">
        <v>1714.0</v>
      </c>
      <c r="C319" s="358" t="s">
        <v>3468</v>
      </c>
      <c r="D319" s="359">
        <v>32512.0</v>
      </c>
      <c r="E319" s="358">
        <v>2.50920748E8</v>
      </c>
      <c r="F319" s="358" t="s">
        <v>3469</v>
      </c>
      <c r="G319" s="360" t="s">
        <v>1058</v>
      </c>
      <c r="H319" s="358" t="s">
        <v>3470</v>
      </c>
      <c r="I319" s="362" t="s">
        <v>3471</v>
      </c>
      <c r="J319" s="358">
        <v>9.4247994E7</v>
      </c>
      <c r="K319" s="358" t="s">
        <v>1061</v>
      </c>
      <c r="L319" s="358" t="s">
        <v>3472</v>
      </c>
      <c r="M319" s="358" t="s">
        <v>1063</v>
      </c>
      <c r="N319" s="358" t="s">
        <v>3473</v>
      </c>
      <c r="O319" s="358" t="s">
        <v>2312</v>
      </c>
    </row>
    <row r="320">
      <c r="A320" s="358" t="s">
        <v>3474</v>
      </c>
      <c r="B320" s="358">
        <v>1164.0</v>
      </c>
      <c r="C320" s="358" t="s">
        <v>3475</v>
      </c>
      <c r="D320" s="359">
        <v>33677.0</v>
      </c>
      <c r="E320" s="358">
        <v>4.76743758E8</v>
      </c>
      <c r="F320" s="358" t="s">
        <v>3476</v>
      </c>
      <c r="G320" s="360" t="s">
        <v>1058</v>
      </c>
      <c r="H320" s="358" t="s">
        <v>3477</v>
      </c>
      <c r="I320" s="362" t="s">
        <v>3478</v>
      </c>
      <c r="J320" s="358">
        <v>8.1185839E7</v>
      </c>
      <c r="K320" s="358" t="s">
        <v>3479</v>
      </c>
      <c r="L320" s="358" t="s">
        <v>3480</v>
      </c>
      <c r="M320" s="358" t="s">
        <v>1151</v>
      </c>
      <c r="N320" s="358" t="s">
        <v>3481</v>
      </c>
      <c r="O320" s="358" t="s">
        <v>1771</v>
      </c>
    </row>
    <row r="321">
      <c r="A321" s="358" t="s">
        <v>3482</v>
      </c>
      <c r="B321" s="358">
        <v>1110.0</v>
      </c>
      <c r="C321" s="358" t="s">
        <v>1082</v>
      </c>
      <c r="D321" s="359">
        <v>34600.0</v>
      </c>
      <c r="E321" s="358">
        <v>6.9151195E8</v>
      </c>
      <c r="F321" s="358" t="s">
        <v>3483</v>
      </c>
      <c r="G321" s="360" t="s">
        <v>1058</v>
      </c>
      <c r="H321" s="358" t="s">
        <v>3484</v>
      </c>
      <c r="I321" s="362" t="s">
        <v>3485</v>
      </c>
      <c r="J321" s="358">
        <v>7.1903461E7</v>
      </c>
      <c r="K321" s="358" t="s">
        <v>3486</v>
      </c>
      <c r="L321" s="358" t="s">
        <v>3487</v>
      </c>
      <c r="M321" s="358" t="s">
        <v>1063</v>
      </c>
      <c r="N321" s="358" t="s">
        <v>3488</v>
      </c>
      <c r="O321" s="358" t="s">
        <v>1309</v>
      </c>
    </row>
    <row r="322">
      <c r="A322" s="358" t="s">
        <v>3489</v>
      </c>
      <c r="B322" s="358">
        <v>1592.0</v>
      </c>
      <c r="C322" s="358" t="s">
        <v>3184</v>
      </c>
      <c r="D322" s="359">
        <v>32759.0</v>
      </c>
      <c r="E322" s="358">
        <v>4.73017489E8</v>
      </c>
      <c r="F322" s="358" t="s">
        <v>3490</v>
      </c>
      <c r="G322" s="358" t="s">
        <v>1574</v>
      </c>
      <c r="H322" s="358" t="s">
        <v>3491</v>
      </c>
      <c r="I322" s="362" t="s">
        <v>3492</v>
      </c>
      <c r="J322" s="358">
        <v>9.3458924E7</v>
      </c>
      <c r="K322" s="358" t="s">
        <v>3493</v>
      </c>
      <c r="L322" s="358" t="s">
        <v>3494</v>
      </c>
      <c r="M322" s="358" t="s">
        <v>1063</v>
      </c>
      <c r="N322" s="358" t="s">
        <v>3495</v>
      </c>
      <c r="O322" s="358" t="s">
        <v>3496</v>
      </c>
    </row>
    <row r="323">
      <c r="A323" s="358" t="s">
        <v>3497</v>
      </c>
      <c r="B323" s="358">
        <v>383.0</v>
      </c>
      <c r="C323" s="358" t="s">
        <v>3122</v>
      </c>
      <c r="D323" s="359">
        <v>26120.0</v>
      </c>
      <c r="E323" s="358">
        <v>2.64234686E8</v>
      </c>
      <c r="F323" s="358" t="s">
        <v>3498</v>
      </c>
      <c r="G323" s="358" t="s">
        <v>1927</v>
      </c>
      <c r="H323" s="358" t="s">
        <v>3499</v>
      </c>
      <c r="I323" s="362" t="s">
        <v>3131</v>
      </c>
      <c r="J323" s="358">
        <v>6.8183585E7</v>
      </c>
      <c r="K323" s="358" t="s">
        <v>3500</v>
      </c>
      <c r="L323" s="358" t="s">
        <v>3501</v>
      </c>
      <c r="M323" s="358" t="s">
        <v>1063</v>
      </c>
      <c r="N323" s="358" t="s">
        <v>3502</v>
      </c>
      <c r="O323" s="358" t="s">
        <v>3129</v>
      </c>
    </row>
    <row r="324">
      <c r="A324" s="358" t="s">
        <v>3503</v>
      </c>
      <c r="B324" s="358">
        <v>409.0</v>
      </c>
      <c r="C324" s="358" t="s">
        <v>3504</v>
      </c>
      <c r="D324" s="359">
        <v>32380.0</v>
      </c>
      <c r="E324" s="358">
        <v>5.52947076E8</v>
      </c>
      <c r="F324" s="358" t="s">
        <v>3505</v>
      </c>
      <c r="G324" s="360" t="s">
        <v>1058</v>
      </c>
      <c r="H324" s="358" t="s">
        <v>3506</v>
      </c>
      <c r="I324" s="362" t="s">
        <v>3507</v>
      </c>
      <c r="J324" s="358">
        <v>5.971209E7</v>
      </c>
      <c r="K324" s="358" t="s">
        <v>3508</v>
      </c>
      <c r="L324" s="358" t="s">
        <v>3509</v>
      </c>
      <c r="M324" s="358" t="s">
        <v>1063</v>
      </c>
      <c r="N324" s="358" t="s">
        <v>3510</v>
      </c>
      <c r="O324" s="358" t="s">
        <v>2704</v>
      </c>
    </row>
    <row r="325">
      <c r="A325" s="358" t="s">
        <v>3511</v>
      </c>
      <c r="B325" s="358">
        <v>1738.0</v>
      </c>
      <c r="C325" s="358" t="s">
        <v>3504</v>
      </c>
      <c r="D325" s="359">
        <v>32380.0</v>
      </c>
      <c r="E325" s="358">
        <v>5.52947076E8</v>
      </c>
      <c r="F325" s="358" t="s">
        <v>3505</v>
      </c>
      <c r="G325" s="360" t="s">
        <v>1058</v>
      </c>
      <c r="H325" s="358" t="s">
        <v>3506</v>
      </c>
      <c r="I325" s="361" t="s">
        <v>3512</v>
      </c>
      <c r="J325" s="358">
        <v>9.8495968E7</v>
      </c>
      <c r="K325" s="358" t="s">
        <v>1061</v>
      </c>
      <c r="L325" s="358" t="s">
        <v>3513</v>
      </c>
      <c r="M325" s="358" t="s">
        <v>1063</v>
      </c>
      <c r="N325" s="358" t="s">
        <v>3514</v>
      </c>
      <c r="O325" s="358" t="s">
        <v>2704</v>
      </c>
    </row>
    <row r="326">
      <c r="A326" s="358" t="s">
        <v>3515</v>
      </c>
      <c r="B326" s="358">
        <v>1739.0</v>
      </c>
      <c r="C326" s="358" t="s">
        <v>3504</v>
      </c>
      <c r="D326" s="359">
        <v>32380.0</v>
      </c>
      <c r="E326" s="358">
        <v>5.52947076E8</v>
      </c>
      <c r="F326" s="358" t="s">
        <v>3505</v>
      </c>
      <c r="G326" s="360" t="s">
        <v>1058</v>
      </c>
      <c r="H326" s="358" t="s">
        <v>3506</v>
      </c>
      <c r="I326" s="361" t="s">
        <v>3516</v>
      </c>
      <c r="J326" s="358">
        <v>9.8499556E7</v>
      </c>
      <c r="K326" s="358" t="s">
        <v>1061</v>
      </c>
      <c r="L326" s="358" t="s">
        <v>3517</v>
      </c>
      <c r="M326" s="358" t="s">
        <v>1063</v>
      </c>
      <c r="N326" s="358" t="s">
        <v>3518</v>
      </c>
      <c r="O326" s="358" t="s">
        <v>2704</v>
      </c>
    </row>
    <row r="327">
      <c r="A327" s="358" t="s">
        <v>3519</v>
      </c>
      <c r="B327" s="358">
        <v>994.0</v>
      </c>
      <c r="C327" s="358" t="s">
        <v>3285</v>
      </c>
      <c r="D327" s="359">
        <v>27590.0</v>
      </c>
      <c r="E327" s="358">
        <v>2.64125812E8</v>
      </c>
      <c r="F327" s="358" t="s">
        <v>3520</v>
      </c>
      <c r="G327" s="358" t="s">
        <v>74</v>
      </c>
      <c r="H327" s="358" t="s">
        <v>3452</v>
      </c>
      <c r="I327" s="362" t="s">
        <v>3521</v>
      </c>
      <c r="J327" s="358">
        <v>7.8257395E7</v>
      </c>
      <c r="K327" s="358" t="s">
        <v>3522</v>
      </c>
      <c r="L327" s="358" t="s">
        <v>3523</v>
      </c>
      <c r="M327" s="358" t="s">
        <v>1063</v>
      </c>
      <c r="N327" s="358" t="s">
        <v>3524</v>
      </c>
      <c r="O327" s="358" t="s">
        <v>3525</v>
      </c>
    </row>
    <row r="328">
      <c r="A328" s="358" t="s">
        <v>3526</v>
      </c>
      <c r="B328" s="358">
        <v>1459.0</v>
      </c>
      <c r="C328" s="358" t="s">
        <v>1639</v>
      </c>
      <c r="D328" s="359">
        <v>27769.0</v>
      </c>
      <c r="E328" s="358">
        <v>4.41334271E8</v>
      </c>
      <c r="F328" s="358" t="s">
        <v>3527</v>
      </c>
      <c r="G328" s="360" t="s">
        <v>1058</v>
      </c>
      <c r="H328" s="358" t="s">
        <v>3528</v>
      </c>
      <c r="I328" s="362" t="s">
        <v>3529</v>
      </c>
      <c r="J328" s="358">
        <v>8.9139119E7</v>
      </c>
      <c r="K328" s="358" t="s">
        <v>3530</v>
      </c>
      <c r="L328" s="358" t="s">
        <v>3531</v>
      </c>
      <c r="M328" s="358" t="s">
        <v>1063</v>
      </c>
      <c r="N328" s="358" t="s">
        <v>3532</v>
      </c>
      <c r="O328" s="358" t="s">
        <v>3533</v>
      </c>
    </row>
    <row r="329">
      <c r="A329" s="358" t="s">
        <v>3534</v>
      </c>
      <c r="B329" s="358">
        <v>505.0</v>
      </c>
      <c r="C329" s="358" t="s">
        <v>3535</v>
      </c>
      <c r="D329" s="359">
        <v>25998.0</v>
      </c>
      <c r="E329" s="358">
        <v>2.64049822E8</v>
      </c>
      <c r="F329" s="358" t="s">
        <v>3536</v>
      </c>
      <c r="G329" s="360" t="s">
        <v>1058</v>
      </c>
      <c r="H329" s="358" t="s">
        <v>3537</v>
      </c>
      <c r="I329" s="362" t="s">
        <v>3538</v>
      </c>
      <c r="J329" s="358">
        <v>2.7301926E7</v>
      </c>
      <c r="K329" s="358" t="s">
        <v>3539</v>
      </c>
      <c r="L329" s="358" t="s">
        <v>3540</v>
      </c>
      <c r="M329" s="358" t="s">
        <v>1063</v>
      </c>
      <c r="N329" s="358" t="s">
        <v>3541</v>
      </c>
      <c r="O329" s="358" t="s">
        <v>3542</v>
      </c>
    </row>
    <row r="330">
      <c r="A330" s="358" t="s">
        <v>3543</v>
      </c>
      <c r="B330" s="358">
        <v>846.0</v>
      </c>
      <c r="C330" s="358" t="s">
        <v>3285</v>
      </c>
      <c r="D330" s="359">
        <v>33009.0</v>
      </c>
      <c r="E330" s="358">
        <v>3.36508761E8</v>
      </c>
      <c r="F330" s="358" t="s">
        <v>3544</v>
      </c>
      <c r="G330" s="360" t="s">
        <v>1058</v>
      </c>
      <c r="H330" s="358" t="s">
        <v>3545</v>
      </c>
      <c r="I330" s="362" t="s">
        <v>3546</v>
      </c>
      <c r="J330" s="358">
        <v>7.5363402E7</v>
      </c>
      <c r="K330" s="358" t="s">
        <v>3547</v>
      </c>
      <c r="L330" s="358" t="s">
        <v>3548</v>
      </c>
      <c r="M330" s="358" t="s">
        <v>1063</v>
      </c>
      <c r="N330" s="358" t="s">
        <v>3549</v>
      </c>
      <c r="O330" s="358" t="s">
        <v>2147</v>
      </c>
    </row>
    <row r="331">
      <c r="A331" s="358" t="s">
        <v>3550</v>
      </c>
      <c r="B331" s="358">
        <v>1503.0</v>
      </c>
      <c r="C331" s="358" t="s">
        <v>1822</v>
      </c>
      <c r="D331" s="359">
        <v>26668.0</v>
      </c>
      <c r="E331" s="358">
        <v>6.59714577E8</v>
      </c>
      <c r="F331" s="358" t="s">
        <v>3551</v>
      </c>
      <c r="G331" s="360" t="s">
        <v>1058</v>
      </c>
      <c r="H331" s="358" t="s">
        <v>3552</v>
      </c>
      <c r="I331" s="362" t="s">
        <v>3553</v>
      </c>
      <c r="J331" s="358">
        <v>9.024664E7</v>
      </c>
      <c r="K331" s="358" t="s">
        <v>3554</v>
      </c>
      <c r="L331" s="358" t="s">
        <v>3555</v>
      </c>
      <c r="M331" s="358" t="s">
        <v>1063</v>
      </c>
      <c r="N331" s="358" t="s">
        <v>3556</v>
      </c>
      <c r="O331" s="358" t="s">
        <v>3557</v>
      </c>
    </row>
    <row r="332">
      <c r="A332" s="358" t="s">
        <v>3558</v>
      </c>
      <c r="B332" s="358">
        <v>512.0</v>
      </c>
      <c r="C332" s="358" t="s">
        <v>1138</v>
      </c>
      <c r="D332" s="359">
        <v>32528.0</v>
      </c>
      <c r="E332" s="358">
        <v>5.61820508E8</v>
      </c>
      <c r="F332" s="358" t="s">
        <v>1161</v>
      </c>
      <c r="G332" s="360" t="s">
        <v>1058</v>
      </c>
      <c r="H332" s="358" t="s">
        <v>1162</v>
      </c>
      <c r="I332" s="362" t="s">
        <v>3559</v>
      </c>
      <c r="J332" s="358">
        <v>7.0863938E7</v>
      </c>
      <c r="K332" s="358" t="s">
        <v>3560</v>
      </c>
      <c r="L332" s="358" t="s">
        <v>3561</v>
      </c>
      <c r="M332" s="358" t="s">
        <v>1063</v>
      </c>
      <c r="N332" s="358" t="s">
        <v>3562</v>
      </c>
      <c r="O332" s="358" t="s">
        <v>3563</v>
      </c>
    </row>
    <row r="333">
      <c r="A333" s="358" t="s">
        <v>3564</v>
      </c>
      <c r="B333" s="358">
        <v>945.0</v>
      </c>
      <c r="C333" s="358" t="s">
        <v>1138</v>
      </c>
      <c r="D333" s="359">
        <v>26856.0</v>
      </c>
      <c r="E333" s="358">
        <v>6.41236347E8</v>
      </c>
      <c r="F333" s="358" t="s">
        <v>3565</v>
      </c>
      <c r="G333" s="358" t="s">
        <v>3566</v>
      </c>
      <c r="H333" s="358" t="s">
        <v>3567</v>
      </c>
      <c r="I333" s="362" t="s">
        <v>3568</v>
      </c>
      <c r="J333" s="358">
        <v>7.7501454E7</v>
      </c>
      <c r="K333" s="358" t="s">
        <v>3569</v>
      </c>
      <c r="L333" s="358" t="s">
        <v>3570</v>
      </c>
      <c r="M333" s="358" t="s">
        <v>1063</v>
      </c>
      <c r="N333" s="358" t="s">
        <v>3571</v>
      </c>
      <c r="O333" s="358" t="s">
        <v>3572</v>
      </c>
    </row>
    <row r="334">
      <c r="A334" s="358" t="s">
        <v>3573</v>
      </c>
      <c r="B334" s="358">
        <v>285.0</v>
      </c>
      <c r="C334" s="358" t="s">
        <v>1138</v>
      </c>
      <c r="D334" s="359">
        <v>30362.0</v>
      </c>
      <c r="E334" s="358">
        <v>6.3526277E8</v>
      </c>
      <c r="F334" s="358" t="s">
        <v>3574</v>
      </c>
      <c r="G334" s="360" t="s">
        <v>1058</v>
      </c>
      <c r="H334" s="358" t="s">
        <v>3575</v>
      </c>
      <c r="I334" s="362" t="s">
        <v>3576</v>
      </c>
      <c r="J334" s="358">
        <v>6.5239679E7</v>
      </c>
      <c r="K334" s="358" t="s">
        <v>3577</v>
      </c>
      <c r="L334" s="358" t="s">
        <v>3578</v>
      </c>
      <c r="M334" s="358" t="s">
        <v>1063</v>
      </c>
      <c r="N334" s="358" t="s">
        <v>3579</v>
      </c>
      <c r="O334" s="358" t="s">
        <v>3580</v>
      </c>
    </row>
    <row r="335">
      <c r="A335" s="358" t="s">
        <v>3581</v>
      </c>
      <c r="B335" s="358">
        <v>1154.0</v>
      </c>
      <c r="C335" s="358" t="s">
        <v>3247</v>
      </c>
      <c r="D335" s="359">
        <v>27188.0</v>
      </c>
      <c r="E335" s="358">
        <v>4.01855697E8</v>
      </c>
      <c r="F335" s="358" t="s">
        <v>3582</v>
      </c>
      <c r="G335" s="360" t="s">
        <v>1058</v>
      </c>
      <c r="H335" s="358" t="s">
        <v>3583</v>
      </c>
      <c r="I335" s="362" t="s">
        <v>3584</v>
      </c>
      <c r="J335" s="358">
        <v>7.7476956E7</v>
      </c>
      <c r="K335" s="358" t="s">
        <v>3585</v>
      </c>
      <c r="L335" s="358" t="s">
        <v>3586</v>
      </c>
      <c r="M335" s="358" t="s">
        <v>1063</v>
      </c>
      <c r="N335" s="358" t="s">
        <v>3587</v>
      </c>
      <c r="O335" s="358" t="s">
        <v>1673</v>
      </c>
    </row>
    <row r="336">
      <c r="A336" s="358" t="s">
        <v>3588</v>
      </c>
      <c r="B336" s="358">
        <v>1163.0</v>
      </c>
      <c r="C336" s="358" t="s">
        <v>1879</v>
      </c>
      <c r="D336" s="359">
        <v>32859.0</v>
      </c>
      <c r="E336" s="358">
        <v>6.60099561E8</v>
      </c>
      <c r="F336" s="358" t="s">
        <v>3589</v>
      </c>
      <c r="G336" s="360" t="s">
        <v>1058</v>
      </c>
      <c r="H336" s="358" t="s">
        <v>3590</v>
      </c>
      <c r="I336" s="362" t="s">
        <v>3591</v>
      </c>
      <c r="J336" s="358">
        <v>7.7664035E7</v>
      </c>
      <c r="K336" s="358" t="s">
        <v>3592</v>
      </c>
      <c r="L336" s="358" t="s">
        <v>3593</v>
      </c>
      <c r="M336" s="358" t="s">
        <v>1063</v>
      </c>
      <c r="N336" s="358" t="s">
        <v>3594</v>
      </c>
      <c r="O336" s="358" t="s">
        <v>3595</v>
      </c>
    </row>
    <row r="337">
      <c r="A337" s="358" t="s">
        <v>3596</v>
      </c>
      <c r="B337" s="358">
        <v>1027.0</v>
      </c>
      <c r="C337" s="358" t="s">
        <v>1238</v>
      </c>
      <c r="D337" s="359">
        <v>37197.0</v>
      </c>
      <c r="E337" s="358">
        <v>4.912989E8</v>
      </c>
      <c r="F337" s="358" t="s">
        <v>3469</v>
      </c>
      <c r="G337" s="360" t="s">
        <v>1058</v>
      </c>
      <c r="H337" s="358" t="s">
        <v>3470</v>
      </c>
      <c r="I337" s="362" t="s">
        <v>3597</v>
      </c>
      <c r="J337" s="358">
        <v>8.0330738E7</v>
      </c>
      <c r="K337" s="358" t="s">
        <v>3598</v>
      </c>
      <c r="L337" s="358" t="s">
        <v>3599</v>
      </c>
      <c r="M337" s="358" t="s">
        <v>1063</v>
      </c>
      <c r="N337" s="358" t="s">
        <v>3600</v>
      </c>
      <c r="O337" s="358" t="s">
        <v>3601</v>
      </c>
    </row>
    <row r="338">
      <c r="A338" s="358" t="s">
        <v>3602</v>
      </c>
      <c r="B338" s="358">
        <v>1337.0</v>
      </c>
      <c r="C338" s="358" t="s">
        <v>2433</v>
      </c>
      <c r="D338" s="359">
        <v>29210.0</v>
      </c>
      <c r="E338" s="358">
        <v>6.8955955E8</v>
      </c>
      <c r="F338" s="358" t="s">
        <v>3603</v>
      </c>
      <c r="G338" s="358" t="s">
        <v>1574</v>
      </c>
      <c r="H338" s="358" t="s">
        <v>3604</v>
      </c>
      <c r="I338" s="362" t="s">
        <v>3605</v>
      </c>
      <c r="J338" s="358">
        <v>8.557992E7</v>
      </c>
      <c r="K338" s="358" t="s">
        <v>3606</v>
      </c>
      <c r="L338" s="358" t="s">
        <v>3607</v>
      </c>
      <c r="M338" s="358" t="s">
        <v>1063</v>
      </c>
      <c r="N338" s="358" t="s">
        <v>3608</v>
      </c>
      <c r="O338" s="358" t="s">
        <v>1810</v>
      </c>
    </row>
    <row r="339">
      <c r="A339" s="358" t="s">
        <v>3609</v>
      </c>
      <c r="B339" s="358">
        <v>1172.0</v>
      </c>
      <c r="C339" s="358" t="s">
        <v>3184</v>
      </c>
      <c r="D339" s="359">
        <v>30771.0</v>
      </c>
      <c r="E339" s="358">
        <v>3.59237319E8</v>
      </c>
      <c r="F339" s="358" t="s">
        <v>3610</v>
      </c>
      <c r="G339" s="358" t="s">
        <v>1620</v>
      </c>
      <c r="H339" s="358" t="s">
        <v>3611</v>
      </c>
      <c r="I339" s="362" t="s">
        <v>3612</v>
      </c>
      <c r="J339" s="358">
        <v>8.2639299E7</v>
      </c>
      <c r="K339" s="358" t="s">
        <v>3613</v>
      </c>
      <c r="L339" s="358" t="s">
        <v>3614</v>
      </c>
      <c r="M339" s="358" t="s">
        <v>1063</v>
      </c>
      <c r="N339" s="358" t="s">
        <v>3615</v>
      </c>
      <c r="O339" s="358" t="s">
        <v>3616</v>
      </c>
    </row>
    <row r="340">
      <c r="A340" s="358" t="s">
        <v>3617</v>
      </c>
      <c r="B340" s="358">
        <v>890.0</v>
      </c>
      <c r="C340" s="358" t="s">
        <v>1555</v>
      </c>
      <c r="D340" s="359">
        <v>24008.0</v>
      </c>
      <c r="E340" s="358">
        <v>5.9506395E8</v>
      </c>
      <c r="F340" s="358" t="s">
        <v>3618</v>
      </c>
      <c r="G340" s="360" t="s">
        <v>1058</v>
      </c>
      <c r="H340" s="358" t="s">
        <v>3619</v>
      </c>
      <c r="I340" s="362" t="s">
        <v>3620</v>
      </c>
      <c r="J340" s="358">
        <v>7.6688968E7</v>
      </c>
      <c r="K340" s="358" t="s">
        <v>3621</v>
      </c>
      <c r="L340" s="358" t="s">
        <v>3622</v>
      </c>
      <c r="M340" s="358" t="s">
        <v>1063</v>
      </c>
      <c r="N340" s="358" t="s">
        <v>3623</v>
      </c>
      <c r="O340" s="358" t="s">
        <v>1479</v>
      </c>
    </row>
    <row r="341">
      <c r="A341" s="358" t="s">
        <v>3624</v>
      </c>
      <c r="B341" s="358">
        <v>729.0</v>
      </c>
      <c r="C341" s="358" t="s">
        <v>3625</v>
      </c>
      <c r="D341" s="359">
        <v>29902.0</v>
      </c>
      <c r="E341" s="358">
        <v>4.13820907E8</v>
      </c>
      <c r="F341" s="358" t="s">
        <v>3626</v>
      </c>
      <c r="G341" s="360" t="s">
        <v>1058</v>
      </c>
      <c r="H341" s="358" t="s">
        <v>3627</v>
      </c>
      <c r="I341" s="362" t="s">
        <v>3628</v>
      </c>
      <c r="J341" s="358">
        <v>7.404261E7</v>
      </c>
      <c r="K341" s="358" t="s">
        <v>3629</v>
      </c>
      <c r="L341" s="358" t="s">
        <v>3630</v>
      </c>
      <c r="M341" s="358" t="s">
        <v>1063</v>
      </c>
      <c r="N341" s="358" t="s">
        <v>3631</v>
      </c>
      <c r="O341" s="358" t="s">
        <v>3632</v>
      </c>
    </row>
    <row r="342">
      <c r="A342" s="358" t="s">
        <v>3633</v>
      </c>
      <c r="B342" s="358">
        <v>924.0</v>
      </c>
      <c r="C342" s="358" t="s">
        <v>2415</v>
      </c>
      <c r="D342" s="359">
        <v>31988.0</v>
      </c>
      <c r="E342" s="358">
        <v>2.64127596E8</v>
      </c>
      <c r="F342" s="358" t="s">
        <v>3634</v>
      </c>
      <c r="G342" s="358" t="s">
        <v>3635</v>
      </c>
      <c r="H342" s="358" t="s">
        <v>3636</v>
      </c>
      <c r="I342" s="362" t="s">
        <v>3637</v>
      </c>
      <c r="J342" s="358">
        <v>7.7564189E7</v>
      </c>
      <c r="K342" s="358" t="s">
        <v>3638</v>
      </c>
      <c r="L342" s="358" t="s">
        <v>3639</v>
      </c>
      <c r="M342" s="358" t="s">
        <v>1063</v>
      </c>
      <c r="N342" s="358" t="s">
        <v>3640</v>
      </c>
      <c r="O342" s="358" t="s">
        <v>3641</v>
      </c>
    </row>
    <row r="343">
      <c r="A343" s="358" t="s">
        <v>3642</v>
      </c>
      <c r="B343" s="358">
        <v>705.0</v>
      </c>
      <c r="C343" s="358" t="s">
        <v>3071</v>
      </c>
      <c r="D343" s="359">
        <v>27139.0</v>
      </c>
      <c r="E343" s="358">
        <v>3.60242911E8</v>
      </c>
      <c r="F343" s="358" t="s">
        <v>3072</v>
      </c>
      <c r="G343" s="358" t="s">
        <v>3073</v>
      </c>
      <c r="H343" s="358" t="s">
        <v>3074</v>
      </c>
      <c r="I343" s="362" t="s">
        <v>3643</v>
      </c>
      <c r="J343" s="358">
        <v>7.3860212E7</v>
      </c>
      <c r="K343" s="358" t="s">
        <v>3644</v>
      </c>
      <c r="L343" s="358" t="s">
        <v>3645</v>
      </c>
      <c r="M343" s="358" t="s">
        <v>1151</v>
      </c>
      <c r="N343" s="358" t="s">
        <v>3646</v>
      </c>
      <c r="O343" s="358" t="s">
        <v>3647</v>
      </c>
    </row>
    <row r="344">
      <c r="A344" s="358" t="s">
        <v>3648</v>
      </c>
      <c r="B344" s="358">
        <v>951.0</v>
      </c>
      <c r="C344" s="358" t="s">
        <v>1168</v>
      </c>
      <c r="D344" s="359">
        <v>28973.0</v>
      </c>
      <c r="E344" s="358">
        <v>5.65664025E8</v>
      </c>
      <c r="F344" s="358" t="s">
        <v>1588</v>
      </c>
      <c r="G344" s="360" t="s">
        <v>1058</v>
      </c>
      <c r="H344" s="358" t="s">
        <v>3649</v>
      </c>
      <c r="I344" s="362" t="s">
        <v>3650</v>
      </c>
      <c r="J344" s="358">
        <v>7.7633482E7</v>
      </c>
      <c r="K344" s="358" t="s">
        <v>3651</v>
      </c>
      <c r="L344" s="358" t="s">
        <v>3652</v>
      </c>
      <c r="M344" s="358" t="s">
        <v>1063</v>
      </c>
      <c r="N344" s="358" t="s">
        <v>3653</v>
      </c>
      <c r="O344" s="358" t="s">
        <v>1212</v>
      </c>
    </row>
    <row r="345">
      <c r="A345" s="358" t="s">
        <v>3654</v>
      </c>
      <c r="B345" s="358">
        <v>524.0</v>
      </c>
      <c r="C345" s="358" t="s">
        <v>1349</v>
      </c>
      <c r="D345" s="359">
        <v>32418.0</v>
      </c>
      <c r="E345" s="358">
        <v>4.96505658E8</v>
      </c>
      <c r="F345" s="358" t="s">
        <v>3655</v>
      </c>
      <c r="G345" s="360" t="s">
        <v>1058</v>
      </c>
      <c r="H345" s="358" t="s">
        <v>3656</v>
      </c>
      <c r="I345" s="362" t="s">
        <v>3657</v>
      </c>
      <c r="J345" s="358">
        <v>7.0815291E7</v>
      </c>
      <c r="K345" s="358" t="s">
        <v>3658</v>
      </c>
      <c r="L345" s="358" t="s">
        <v>3659</v>
      </c>
      <c r="M345" s="358" t="s">
        <v>1063</v>
      </c>
      <c r="N345" s="358" t="s">
        <v>3660</v>
      </c>
      <c r="O345" s="358" t="s">
        <v>3661</v>
      </c>
    </row>
    <row r="346">
      <c r="A346" s="358" t="s">
        <v>3662</v>
      </c>
      <c r="B346" s="358">
        <v>1683.0</v>
      </c>
      <c r="C346" s="358" t="s">
        <v>139</v>
      </c>
      <c r="D346" s="359">
        <v>28508.0</v>
      </c>
      <c r="E346" s="358">
        <v>2.91444969E8</v>
      </c>
      <c r="F346" s="358" t="s">
        <v>3663</v>
      </c>
      <c r="G346" s="360" t="s">
        <v>1058</v>
      </c>
      <c r="H346" s="358" t="s">
        <v>3664</v>
      </c>
      <c r="I346" s="362" t="s">
        <v>3665</v>
      </c>
      <c r="J346" s="358">
        <v>9.6291443E7</v>
      </c>
      <c r="K346" s="358" t="s">
        <v>3666</v>
      </c>
      <c r="L346" s="358" t="s">
        <v>3667</v>
      </c>
      <c r="M346" s="358" t="s">
        <v>1063</v>
      </c>
      <c r="N346" s="358" t="s">
        <v>3668</v>
      </c>
      <c r="O346" s="358" t="s">
        <v>3669</v>
      </c>
    </row>
    <row r="347">
      <c r="A347" s="358" t="s">
        <v>3670</v>
      </c>
      <c r="B347" s="358">
        <v>1675.0</v>
      </c>
      <c r="C347" s="358" t="s">
        <v>3184</v>
      </c>
      <c r="D347" s="359">
        <v>37945.0</v>
      </c>
      <c r="E347" s="358">
        <v>6.50228716E8</v>
      </c>
      <c r="F347" s="358" t="s">
        <v>3671</v>
      </c>
      <c r="G347" s="360" t="s">
        <v>1058</v>
      </c>
      <c r="H347" s="358" t="s">
        <v>3672</v>
      </c>
      <c r="I347" s="362" t="s">
        <v>3673</v>
      </c>
      <c r="J347" s="358">
        <v>9.5467165E7</v>
      </c>
      <c r="K347" s="358" t="s">
        <v>3674</v>
      </c>
      <c r="L347" s="358" t="s">
        <v>3675</v>
      </c>
      <c r="M347" s="358" t="s">
        <v>1063</v>
      </c>
      <c r="N347" s="358" t="s">
        <v>3676</v>
      </c>
      <c r="O347" s="358" t="s">
        <v>3669</v>
      </c>
    </row>
    <row r="348">
      <c r="A348" s="358" t="s">
        <v>3677</v>
      </c>
      <c r="B348" s="358">
        <v>363.0</v>
      </c>
      <c r="C348" s="358" t="s">
        <v>3678</v>
      </c>
      <c r="D348" s="359">
        <v>23107.0</v>
      </c>
      <c r="E348" s="358">
        <v>2.65355473E8</v>
      </c>
      <c r="F348" s="358" t="s">
        <v>3679</v>
      </c>
      <c r="G348" s="358" t="s">
        <v>2724</v>
      </c>
      <c r="H348" s="358" t="s">
        <v>1109</v>
      </c>
      <c r="I348" s="362" t="s">
        <v>3680</v>
      </c>
      <c r="J348" s="358">
        <v>6.6264383E7</v>
      </c>
      <c r="K348" s="358" t="s">
        <v>3681</v>
      </c>
      <c r="L348" s="358" t="s">
        <v>3682</v>
      </c>
      <c r="M348" s="358" t="s">
        <v>1063</v>
      </c>
      <c r="N348" s="358" t="s">
        <v>3683</v>
      </c>
      <c r="O348" s="358" t="s">
        <v>3684</v>
      </c>
    </row>
    <row r="349">
      <c r="A349" s="358" t="s">
        <v>3685</v>
      </c>
      <c r="B349" s="358">
        <v>1606.0</v>
      </c>
      <c r="C349" s="358" t="s">
        <v>2629</v>
      </c>
      <c r="D349" s="359">
        <v>36767.0</v>
      </c>
      <c r="E349" s="358">
        <v>3.89570072E8</v>
      </c>
      <c r="F349" s="358" t="s">
        <v>3686</v>
      </c>
      <c r="G349" s="358" t="s">
        <v>2391</v>
      </c>
      <c r="H349" s="358" t="s">
        <v>3687</v>
      </c>
      <c r="I349" s="362" t="s">
        <v>3688</v>
      </c>
      <c r="J349" s="358">
        <v>9.3148283E7</v>
      </c>
      <c r="K349" s="358" t="s">
        <v>3689</v>
      </c>
      <c r="L349" s="358" t="s">
        <v>3690</v>
      </c>
      <c r="M349" s="358" t="s">
        <v>1063</v>
      </c>
      <c r="N349" s="358" t="s">
        <v>3691</v>
      </c>
      <c r="O349" s="358" t="s">
        <v>3685</v>
      </c>
    </row>
    <row r="350">
      <c r="A350" s="358" t="s">
        <v>3692</v>
      </c>
      <c r="B350" s="358">
        <v>1546.0</v>
      </c>
      <c r="C350" s="358" t="s">
        <v>3693</v>
      </c>
      <c r="D350" s="359">
        <v>36372.0</v>
      </c>
      <c r="E350" s="358">
        <v>7.80731943E8</v>
      </c>
      <c r="F350" s="358" t="s">
        <v>3694</v>
      </c>
      <c r="G350" s="360" t="s">
        <v>1058</v>
      </c>
      <c r="H350" s="358" t="s">
        <v>3695</v>
      </c>
      <c r="I350" s="362" t="s">
        <v>3696</v>
      </c>
      <c r="J350" s="358">
        <v>9.1385733E7</v>
      </c>
      <c r="K350" s="358" t="s">
        <v>3697</v>
      </c>
      <c r="L350" s="358" t="s">
        <v>3698</v>
      </c>
      <c r="M350" s="358" t="s">
        <v>1063</v>
      </c>
      <c r="N350" s="358" t="s">
        <v>3699</v>
      </c>
      <c r="O350" s="358" t="s">
        <v>2686</v>
      </c>
    </row>
    <row r="351">
      <c r="A351" s="358" t="s">
        <v>3700</v>
      </c>
      <c r="B351" s="358">
        <v>621.0</v>
      </c>
      <c r="C351" s="358" t="s">
        <v>3701</v>
      </c>
      <c r="D351" s="359">
        <v>32571.0</v>
      </c>
      <c r="E351" s="358">
        <v>3.37273698E8</v>
      </c>
      <c r="F351" s="358" t="s">
        <v>3702</v>
      </c>
      <c r="G351" s="360" t="s">
        <v>1058</v>
      </c>
      <c r="H351" s="358" t="s">
        <v>3703</v>
      </c>
      <c r="I351" s="362" t="s">
        <v>3704</v>
      </c>
      <c r="J351" s="358">
        <v>7.247833E7</v>
      </c>
      <c r="K351" s="358" t="s">
        <v>3705</v>
      </c>
      <c r="L351" s="358" t="s">
        <v>3706</v>
      </c>
      <c r="M351" s="358" t="s">
        <v>1063</v>
      </c>
      <c r="N351" s="358" t="s">
        <v>3707</v>
      </c>
      <c r="O351" s="358" t="s">
        <v>3708</v>
      </c>
    </row>
    <row r="352">
      <c r="A352" s="358" t="s">
        <v>3709</v>
      </c>
      <c r="B352" s="358">
        <v>1687.0</v>
      </c>
      <c r="C352" s="358" t="s">
        <v>1978</v>
      </c>
      <c r="D352" s="359">
        <v>32561.0</v>
      </c>
      <c r="E352" s="358">
        <v>3.27921006E8</v>
      </c>
      <c r="F352" s="358" t="s">
        <v>1632</v>
      </c>
      <c r="G352" s="360" t="s">
        <v>1058</v>
      </c>
      <c r="H352" s="358" t="s">
        <v>1633</v>
      </c>
      <c r="I352" s="362" t="s">
        <v>3710</v>
      </c>
      <c r="J352" s="358">
        <v>9.6292679E7</v>
      </c>
      <c r="K352" s="358" t="s">
        <v>3711</v>
      </c>
      <c r="L352" s="358" t="s">
        <v>3712</v>
      </c>
      <c r="M352" s="358" t="s">
        <v>1063</v>
      </c>
      <c r="N352" s="358" t="s">
        <v>3713</v>
      </c>
      <c r="O352" s="358" t="s">
        <v>3595</v>
      </c>
    </row>
    <row r="353">
      <c r="A353" s="358" t="s">
        <v>3714</v>
      </c>
      <c r="B353" s="358">
        <v>1454.0</v>
      </c>
      <c r="C353" s="358" t="s">
        <v>3715</v>
      </c>
      <c r="D353" s="359">
        <v>32868.0</v>
      </c>
      <c r="E353" s="358">
        <v>5.39137133E8</v>
      </c>
      <c r="F353" s="358" t="s">
        <v>3716</v>
      </c>
      <c r="G353" s="360" t="s">
        <v>3717</v>
      </c>
      <c r="H353" s="358" t="s">
        <v>3718</v>
      </c>
      <c r="I353" s="362" t="s">
        <v>3719</v>
      </c>
      <c r="J353" s="358">
        <v>8.9368444E7</v>
      </c>
      <c r="K353" s="358" t="s">
        <v>3720</v>
      </c>
      <c r="L353" s="358" t="s">
        <v>3721</v>
      </c>
      <c r="M353" s="358" t="s">
        <v>1063</v>
      </c>
      <c r="N353" s="358" t="s">
        <v>3722</v>
      </c>
      <c r="O353" s="358" t="s">
        <v>3723</v>
      </c>
    </row>
    <row r="354">
      <c r="A354" s="358" t="s">
        <v>3724</v>
      </c>
      <c r="B354" s="358">
        <v>551.0</v>
      </c>
      <c r="C354" s="358" t="s">
        <v>1463</v>
      </c>
      <c r="D354" s="359">
        <v>26942.0</v>
      </c>
      <c r="E354" s="358">
        <v>3.18810542E8</v>
      </c>
      <c r="F354" s="358" t="s">
        <v>3725</v>
      </c>
      <c r="G354" s="358" t="s">
        <v>2168</v>
      </c>
      <c r="H354" s="358" t="s">
        <v>3627</v>
      </c>
      <c r="I354" s="362" t="s">
        <v>3726</v>
      </c>
      <c r="J354" s="358">
        <v>7.122783E7</v>
      </c>
      <c r="K354" s="358" t="s">
        <v>3727</v>
      </c>
      <c r="L354" s="358" t="s">
        <v>3728</v>
      </c>
      <c r="M354" s="358" t="s">
        <v>1063</v>
      </c>
      <c r="N354" s="358" t="s">
        <v>3729</v>
      </c>
      <c r="O354" s="358" t="s">
        <v>2174</v>
      </c>
    </row>
    <row r="355">
      <c r="A355" s="358" t="s">
        <v>3730</v>
      </c>
      <c r="B355" s="358">
        <v>1576.0</v>
      </c>
      <c r="C355" s="358" t="s">
        <v>3731</v>
      </c>
      <c r="D355" s="359">
        <v>25408.0</v>
      </c>
      <c r="E355" s="358">
        <v>3.85442191E8</v>
      </c>
      <c r="F355" s="358" t="s">
        <v>3732</v>
      </c>
      <c r="G355" s="360" t="s">
        <v>1058</v>
      </c>
      <c r="H355" s="358" t="s">
        <v>3733</v>
      </c>
      <c r="I355" s="362" t="s">
        <v>3734</v>
      </c>
      <c r="J355" s="358">
        <v>5.1675927E7</v>
      </c>
      <c r="K355" s="358" t="s">
        <v>3735</v>
      </c>
      <c r="L355" s="358" t="s">
        <v>3736</v>
      </c>
      <c r="M355" s="358" t="s">
        <v>1063</v>
      </c>
      <c r="N355" s="358" t="s">
        <v>3737</v>
      </c>
      <c r="O355" s="358" t="s">
        <v>3738</v>
      </c>
    </row>
    <row r="356">
      <c r="A356" s="358" t="s">
        <v>3739</v>
      </c>
      <c r="B356" s="358">
        <v>117.0</v>
      </c>
      <c r="C356" s="358" t="s">
        <v>1804</v>
      </c>
      <c r="D356" s="359">
        <v>31304.0</v>
      </c>
      <c r="E356" s="358">
        <v>5.99746336E8</v>
      </c>
      <c r="F356" s="358" t="s">
        <v>3740</v>
      </c>
      <c r="G356" s="360" t="s">
        <v>1058</v>
      </c>
      <c r="H356" s="358" t="s">
        <v>3741</v>
      </c>
      <c r="I356" s="362" t="s">
        <v>3742</v>
      </c>
      <c r="J356" s="358">
        <v>5.2197905E7</v>
      </c>
      <c r="K356" s="358" t="s">
        <v>3743</v>
      </c>
      <c r="L356" s="358" t="s">
        <v>3744</v>
      </c>
      <c r="M356" s="358" t="s">
        <v>1063</v>
      </c>
      <c r="N356" s="358" t="s">
        <v>3745</v>
      </c>
      <c r="O356" s="358" t="s">
        <v>3746</v>
      </c>
    </row>
    <row r="357">
      <c r="A357" s="358" t="s">
        <v>3747</v>
      </c>
      <c r="B357" s="358">
        <v>948.0</v>
      </c>
      <c r="C357" s="358" t="s">
        <v>3748</v>
      </c>
      <c r="D357" s="359">
        <v>32560.0</v>
      </c>
      <c r="E357" s="358">
        <v>5.14421563E8</v>
      </c>
      <c r="F357" s="358" t="s">
        <v>3749</v>
      </c>
      <c r="G357" s="358" t="s">
        <v>3750</v>
      </c>
      <c r="H357" s="358" t="s">
        <v>3751</v>
      </c>
      <c r="I357" s="362" t="s">
        <v>3752</v>
      </c>
      <c r="J357" s="358">
        <v>7.7646134E7</v>
      </c>
      <c r="K357" s="358" t="s">
        <v>3753</v>
      </c>
      <c r="L357" s="358" t="s">
        <v>3754</v>
      </c>
      <c r="M357" s="358" t="s">
        <v>1063</v>
      </c>
      <c r="N357" s="358" t="s">
        <v>3755</v>
      </c>
      <c r="O357" s="358" t="s">
        <v>1376</v>
      </c>
    </row>
    <row r="358">
      <c r="A358" s="358" t="s">
        <v>3756</v>
      </c>
      <c r="B358" s="358">
        <v>113.0</v>
      </c>
      <c r="C358" s="358" t="s">
        <v>3757</v>
      </c>
      <c r="D358" s="359">
        <v>30260.0</v>
      </c>
      <c r="E358" s="358">
        <v>6.61406507E8</v>
      </c>
      <c r="F358" s="358" t="s">
        <v>2158</v>
      </c>
      <c r="G358" s="360" t="s">
        <v>1058</v>
      </c>
      <c r="H358" s="358" t="s">
        <v>3758</v>
      </c>
      <c r="I358" s="362" t="s">
        <v>3759</v>
      </c>
      <c r="J358" s="358">
        <v>5.6439458E7</v>
      </c>
      <c r="K358" s="358" t="s">
        <v>3760</v>
      </c>
      <c r="L358" s="358" t="s">
        <v>3761</v>
      </c>
      <c r="M358" s="358" t="s">
        <v>1063</v>
      </c>
      <c r="N358" s="358" t="s">
        <v>3762</v>
      </c>
      <c r="O358" s="358" t="s">
        <v>2164</v>
      </c>
    </row>
    <row r="359">
      <c r="A359" s="358" t="s">
        <v>3763</v>
      </c>
      <c r="B359" s="358">
        <v>216.0</v>
      </c>
      <c r="C359" s="358" t="s">
        <v>3693</v>
      </c>
      <c r="D359" s="359">
        <v>30605.0</v>
      </c>
      <c r="E359" s="358">
        <v>7.80087501E8</v>
      </c>
      <c r="F359" s="358" t="s">
        <v>3764</v>
      </c>
      <c r="G359" s="360" t="s">
        <v>1058</v>
      </c>
      <c r="H359" s="358" t="s">
        <v>3765</v>
      </c>
      <c r="I359" s="362" t="s">
        <v>3766</v>
      </c>
      <c r="J359" s="358">
        <v>6.3240874E7</v>
      </c>
      <c r="K359" s="358" t="s">
        <v>3767</v>
      </c>
      <c r="L359" s="358" t="s">
        <v>3768</v>
      </c>
      <c r="M359" s="358" t="s">
        <v>1063</v>
      </c>
      <c r="N359" s="358" t="s">
        <v>3769</v>
      </c>
      <c r="O359" s="358" t="s">
        <v>2304</v>
      </c>
    </row>
    <row r="360">
      <c r="A360" s="358" t="s">
        <v>3770</v>
      </c>
      <c r="B360" s="358">
        <v>1462.0</v>
      </c>
      <c r="C360" s="358" t="s">
        <v>3771</v>
      </c>
      <c r="D360" s="359">
        <v>31290.0</v>
      </c>
      <c r="E360" s="358">
        <v>3.80808547E8</v>
      </c>
      <c r="F360" s="358" t="s">
        <v>3772</v>
      </c>
      <c r="G360" s="360" t="s">
        <v>1058</v>
      </c>
      <c r="H360" s="358" t="s">
        <v>1597</v>
      </c>
      <c r="I360" s="362" t="s">
        <v>3773</v>
      </c>
      <c r="J360" s="358">
        <v>8.895294E7</v>
      </c>
      <c r="K360" s="358" t="s">
        <v>3774</v>
      </c>
      <c r="L360" s="358" t="s">
        <v>3775</v>
      </c>
      <c r="M360" s="358" t="s">
        <v>1063</v>
      </c>
      <c r="N360" s="358" t="s">
        <v>3776</v>
      </c>
      <c r="O360" s="358" t="s">
        <v>3777</v>
      </c>
    </row>
    <row r="361">
      <c r="A361" s="358" t="s">
        <v>3778</v>
      </c>
      <c r="B361" s="358">
        <v>1526.0</v>
      </c>
      <c r="C361" s="358" t="s">
        <v>3779</v>
      </c>
      <c r="D361" s="359">
        <v>34984.0</v>
      </c>
      <c r="E361" s="358">
        <v>5.79221465E8</v>
      </c>
      <c r="F361" s="358" t="s">
        <v>3574</v>
      </c>
      <c r="G361" s="360" t="s">
        <v>1058</v>
      </c>
      <c r="H361" s="358" t="s">
        <v>3780</v>
      </c>
      <c r="I361" s="362" t="s">
        <v>3781</v>
      </c>
      <c r="J361" s="358">
        <v>9.0877632E7</v>
      </c>
      <c r="K361" s="358" t="s">
        <v>3782</v>
      </c>
      <c r="L361" s="358" t="s">
        <v>3783</v>
      </c>
      <c r="M361" s="358" t="s">
        <v>1063</v>
      </c>
      <c r="N361" s="358" t="s">
        <v>3784</v>
      </c>
      <c r="O361" s="358" t="s">
        <v>3785</v>
      </c>
    </row>
    <row r="362">
      <c r="A362" s="358" t="s">
        <v>3786</v>
      </c>
      <c r="B362" s="358">
        <v>840.0</v>
      </c>
      <c r="C362" s="358" t="s">
        <v>2697</v>
      </c>
      <c r="D362" s="359">
        <v>34191.0</v>
      </c>
      <c r="E362" s="358">
        <v>4.93771335E8</v>
      </c>
      <c r="F362" s="358" t="s">
        <v>3787</v>
      </c>
      <c r="G362" s="360" t="s">
        <v>1058</v>
      </c>
      <c r="H362" s="358" t="s">
        <v>3788</v>
      </c>
      <c r="I362" s="362" t="s">
        <v>3789</v>
      </c>
      <c r="J362" s="358">
        <v>7.572675E7</v>
      </c>
      <c r="K362" s="358" t="s">
        <v>3790</v>
      </c>
      <c r="L362" s="358" t="s">
        <v>3791</v>
      </c>
      <c r="M362" s="358" t="s">
        <v>1063</v>
      </c>
      <c r="N362" s="358" t="s">
        <v>3792</v>
      </c>
      <c r="O362" s="358" t="s">
        <v>1529</v>
      </c>
    </row>
    <row r="363">
      <c r="A363" s="358" t="s">
        <v>3793</v>
      </c>
      <c r="B363" s="358">
        <v>1696.0</v>
      </c>
      <c r="C363" s="358" t="s">
        <v>2500</v>
      </c>
      <c r="D363" s="359">
        <v>36400.0</v>
      </c>
      <c r="E363" s="358">
        <v>5.65960192E8</v>
      </c>
      <c r="F363" s="358" t="s">
        <v>1516</v>
      </c>
      <c r="G363" s="358" t="s">
        <v>74</v>
      </c>
      <c r="H363" s="358" t="s">
        <v>1517</v>
      </c>
      <c r="I363" s="362" t="s">
        <v>3794</v>
      </c>
      <c r="J363" s="358">
        <v>9.1765897E7</v>
      </c>
      <c r="K363" s="358" t="s">
        <v>1061</v>
      </c>
      <c r="L363" s="358" t="s">
        <v>3795</v>
      </c>
      <c r="M363" s="358" t="s">
        <v>1151</v>
      </c>
      <c r="N363" s="358" t="s">
        <v>3796</v>
      </c>
      <c r="O363" s="358" t="s">
        <v>1521</v>
      </c>
    </row>
    <row r="364">
      <c r="A364" s="358" t="s">
        <v>3797</v>
      </c>
      <c r="B364" s="358">
        <v>1268.0</v>
      </c>
      <c r="C364" s="358" t="s">
        <v>3184</v>
      </c>
      <c r="D364" s="359">
        <v>29669.0</v>
      </c>
      <c r="E364" s="358">
        <v>2.64829335E8</v>
      </c>
      <c r="F364" s="358" t="s">
        <v>3798</v>
      </c>
      <c r="G364" s="358" t="s">
        <v>1380</v>
      </c>
      <c r="H364" s="358" t="s">
        <v>3799</v>
      </c>
      <c r="I364" s="362" t="s">
        <v>3800</v>
      </c>
      <c r="J364" s="358">
        <v>8.5804991E7</v>
      </c>
      <c r="K364" s="358" t="s">
        <v>3801</v>
      </c>
      <c r="L364" s="358" t="s">
        <v>3802</v>
      </c>
      <c r="M364" s="358" t="s">
        <v>1063</v>
      </c>
      <c r="N364" s="358" t="s">
        <v>3803</v>
      </c>
      <c r="O364" s="358" t="s">
        <v>3804</v>
      </c>
    </row>
    <row r="365">
      <c r="A365" s="358" t="s">
        <v>3805</v>
      </c>
      <c r="B365" s="358">
        <v>1664.0</v>
      </c>
      <c r="C365" s="358" t="s">
        <v>1056</v>
      </c>
      <c r="D365" s="359">
        <v>32505.0</v>
      </c>
      <c r="E365" s="358">
        <v>2.82694183E8</v>
      </c>
      <c r="F365" s="358" t="s">
        <v>3806</v>
      </c>
      <c r="G365" s="358" t="s">
        <v>2391</v>
      </c>
      <c r="H365" s="358" t="s">
        <v>3807</v>
      </c>
      <c r="I365" s="361" t="s">
        <v>3808</v>
      </c>
      <c r="J365" s="358">
        <v>9.5001719E7</v>
      </c>
      <c r="K365" s="358" t="s">
        <v>3809</v>
      </c>
      <c r="L365" s="358" t="s">
        <v>3810</v>
      </c>
      <c r="M365" s="358" t="s">
        <v>1063</v>
      </c>
      <c r="N365" s="358" t="s">
        <v>3811</v>
      </c>
      <c r="O365" s="358" t="s">
        <v>2978</v>
      </c>
    </row>
    <row r="366">
      <c r="A366" s="358" t="s">
        <v>3812</v>
      </c>
      <c r="B366" s="358">
        <v>563.0</v>
      </c>
      <c r="C366" s="358" t="s">
        <v>3049</v>
      </c>
      <c r="D366" s="359">
        <v>29725.0</v>
      </c>
      <c r="E366" s="358">
        <v>2.64251246E8</v>
      </c>
      <c r="F366" s="358" t="s">
        <v>3361</v>
      </c>
      <c r="G366" s="360" t="s">
        <v>1058</v>
      </c>
      <c r="H366" s="358" t="s">
        <v>3362</v>
      </c>
      <c r="I366" s="362" t="s">
        <v>3363</v>
      </c>
      <c r="J366" s="358">
        <v>6.861416E7</v>
      </c>
      <c r="K366" s="358" t="s">
        <v>3813</v>
      </c>
      <c r="L366" s="358" t="s">
        <v>3814</v>
      </c>
      <c r="M366" s="358" t="s">
        <v>1063</v>
      </c>
      <c r="N366" s="358" t="s">
        <v>3815</v>
      </c>
      <c r="O366" s="358" t="s">
        <v>1771</v>
      </c>
    </row>
    <row r="367">
      <c r="A367" s="358" t="s">
        <v>3816</v>
      </c>
      <c r="B367" s="358">
        <v>1423.0</v>
      </c>
      <c r="C367" s="358" t="s">
        <v>3817</v>
      </c>
      <c r="D367" s="359">
        <v>32329.0</v>
      </c>
      <c r="E367" s="358">
        <v>4.58320894E8</v>
      </c>
      <c r="F367" s="358" t="s">
        <v>3818</v>
      </c>
      <c r="G367" s="358" t="s">
        <v>3819</v>
      </c>
      <c r="H367" s="358" t="s">
        <v>3820</v>
      </c>
      <c r="I367" s="362" t="s">
        <v>3821</v>
      </c>
      <c r="J367" s="358">
        <v>8.7812479E7</v>
      </c>
      <c r="K367" s="358" t="s">
        <v>3822</v>
      </c>
      <c r="L367" s="358" t="s">
        <v>3823</v>
      </c>
      <c r="M367" s="358" t="s">
        <v>1063</v>
      </c>
      <c r="N367" s="358" t="s">
        <v>3824</v>
      </c>
      <c r="O367" s="358" t="s">
        <v>3825</v>
      </c>
    </row>
    <row r="368">
      <c r="A368" s="358" t="s">
        <v>3826</v>
      </c>
      <c r="B368" s="358">
        <v>298.0</v>
      </c>
      <c r="C368" s="358" t="s">
        <v>3827</v>
      </c>
      <c r="D368" s="359">
        <v>30848.0</v>
      </c>
      <c r="E368" s="358">
        <v>5.0916196E8</v>
      </c>
      <c r="F368" s="358" t="s">
        <v>3828</v>
      </c>
      <c r="G368" s="360" t="s">
        <v>1058</v>
      </c>
      <c r="H368" s="358" t="s">
        <v>3829</v>
      </c>
      <c r="I368" s="362" t="s">
        <v>3830</v>
      </c>
      <c r="J368" s="358">
        <v>6.5674359E7</v>
      </c>
      <c r="K368" s="358" t="s">
        <v>3831</v>
      </c>
      <c r="L368" s="358" t="s">
        <v>3832</v>
      </c>
      <c r="M368" s="358" t="s">
        <v>1063</v>
      </c>
      <c r="N368" s="358" t="s">
        <v>3833</v>
      </c>
      <c r="O368" s="358" t="s">
        <v>3834</v>
      </c>
    </row>
    <row r="369">
      <c r="A369" s="358" t="s">
        <v>3835</v>
      </c>
      <c r="B369" s="358">
        <v>1500.0</v>
      </c>
      <c r="C369" s="358" t="s">
        <v>3836</v>
      </c>
      <c r="D369" s="359">
        <v>36375.0</v>
      </c>
      <c r="E369" s="358">
        <v>3.49166444E8</v>
      </c>
      <c r="F369" s="358" t="s">
        <v>3837</v>
      </c>
      <c r="G369" s="358" t="s">
        <v>3838</v>
      </c>
      <c r="H369" s="358" t="s">
        <v>3839</v>
      </c>
      <c r="I369" s="362" t="s">
        <v>3840</v>
      </c>
      <c r="J369" s="358">
        <v>9.0298128E7</v>
      </c>
      <c r="K369" s="358" t="s">
        <v>3841</v>
      </c>
      <c r="L369" s="358" t="s">
        <v>3842</v>
      </c>
      <c r="M369" s="358" t="s">
        <v>1063</v>
      </c>
      <c r="N369" s="358" t="s">
        <v>3843</v>
      </c>
      <c r="O369" s="358" t="s">
        <v>1309</v>
      </c>
    </row>
    <row r="370">
      <c r="A370" s="358" t="s">
        <v>3844</v>
      </c>
      <c r="B370" s="358">
        <v>1681.0</v>
      </c>
      <c r="C370" s="358" t="s">
        <v>1341</v>
      </c>
      <c r="D370" s="359">
        <v>30114.0</v>
      </c>
      <c r="E370" s="358">
        <v>4.68850168E8</v>
      </c>
      <c r="F370" s="358" t="s">
        <v>3845</v>
      </c>
      <c r="G370" s="360" t="s">
        <v>1058</v>
      </c>
      <c r="H370" s="358" t="s">
        <v>3846</v>
      </c>
      <c r="I370" s="362" t="s">
        <v>3847</v>
      </c>
      <c r="J370" s="358">
        <v>9.6499516E7</v>
      </c>
      <c r="K370" s="358" t="s">
        <v>3848</v>
      </c>
      <c r="L370" s="358" t="s">
        <v>3849</v>
      </c>
      <c r="M370" s="358" t="s">
        <v>1063</v>
      </c>
      <c r="N370" s="358" t="s">
        <v>3850</v>
      </c>
      <c r="O370" s="358" t="s">
        <v>3851</v>
      </c>
    </row>
    <row r="371">
      <c r="A371" s="358" t="s">
        <v>3852</v>
      </c>
      <c r="B371" s="358">
        <v>1547.0</v>
      </c>
      <c r="C371" s="358" t="s">
        <v>3836</v>
      </c>
      <c r="D371" s="359">
        <v>28308.0</v>
      </c>
      <c r="E371" s="358">
        <v>4.93187832E8</v>
      </c>
      <c r="F371" s="358" t="s">
        <v>3853</v>
      </c>
      <c r="G371" s="358" t="s">
        <v>2848</v>
      </c>
      <c r="H371" s="358" t="s">
        <v>3854</v>
      </c>
      <c r="I371" s="362" t="s">
        <v>3855</v>
      </c>
      <c r="J371" s="358">
        <v>9.1538378E7</v>
      </c>
      <c r="K371" s="358" t="s">
        <v>3856</v>
      </c>
      <c r="L371" s="358" t="s">
        <v>3857</v>
      </c>
      <c r="M371" s="358" t="s">
        <v>1063</v>
      </c>
      <c r="N371" s="358" t="s">
        <v>3858</v>
      </c>
      <c r="O371" s="358" t="s">
        <v>2978</v>
      </c>
    </row>
    <row r="372">
      <c r="A372" s="358" t="s">
        <v>3859</v>
      </c>
      <c r="B372" s="358">
        <v>723.0</v>
      </c>
      <c r="C372" s="358" t="s">
        <v>1056</v>
      </c>
      <c r="D372" s="359">
        <v>30711.0</v>
      </c>
      <c r="E372" s="358">
        <v>5.22372247E8</v>
      </c>
      <c r="F372" s="358" t="s">
        <v>3860</v>
      </c>
      <c r="G372" s="360" t="s">
        <v>1058</v>
      </c>
      <c r="H372" s="358" t="s">
        <v>3861</v>
      </c>
      <c r="I372" s="362" t="s">
        <v>3862</v>
      </c>
      <c r="J372" s="358">
        <v>7.3964972E7</v>
      </c>
      <c r="K372" s="358" t="s">
        <v>3863</v>
      </c>
      <c r="L372" s="358" t="s">
        <v>3864</v>
      </c>
      <c r="M372" s="358" t="s">
        <v>1063</v>
      </c>
      <c r="N372" s="358" t="s">
        <v>3865</v>
      </c>
      <c r="O372" s="358" t="s">
        <v>2304</v>
      </c>
    </row>
    <row r="373">
      <c r="A373" s="358" t="s">
        <v>3866</v>
      </c>
      <c r="B373" s="358">
        <v>1701.0</v>
      </c>
      <c r="C373" s="358" t="s">
        <v>3867</v>
      </c>
      <c r="D373" s="359">
        <v>32336.0</v>
      </c>
      <c r="E373" s="358">
        <v>6.84912727E8</v>
      </c>
      <c r="F373" s="358" t="s">
        <v>3868</v>
      </c>
      <c r="G373" s="358" t="s">
        <v>1574</v>
      </c>
      <c r="H373" s="358" t="s">
        <v>2077</v>
      </c>
      <c r="I373" s="362" t="s">
        <v>3869</v>
      </c>
      <c r="J373" s="358">
        <v>9.7391646E7</v>
      </c>
      <c r="K373" s="358" t="s">
        <v>3870</v>
      </c>
      <c r="L373" s="358" t="s">
        <v>3871</v>
      </c>
      <c r="M373" s="358" t="s">
        <v>1063</v>
      </c>
      <c r="N373" s="358" t="s">
        <v>3872</v>
      </c>
      <c r="O373" s="358" t="s">
        <v>2082</v>
      </c>
    </row>
    <row r="374">
      <c r="A374" s="358" t="s">
        <v>3873</v>
      </c>
      <c r="B374" s="358">
        <v>1195.0</v>
      </c>
      <c r="C374" s="358" t="s">
        <v>1812</v>
      </c>
      <c r="D374" s="359">
        <v>31631.0</v>
      </c>
      <c r="E374" s="358">
        <v>4.77988489E8</v>
      </c>
      <c r="F374" s="358" t="s">
        <v>3874</v>
      </c>
      <c r="G374" s="358" t="s">
        <v>74</v>
      </c>
      <c r="H374" s="358" t="s">
        <v>3875</v>
      </c>
      <c r="I374" s="362" t="s">
        <v>3876</v>
      </c>
      <c r="J374" s="358">
        <v>8.3034986E7</v>
      </c>
      <c r="K374" s="358" t="s">
        <v>3877</v>
      </c>
      <c r="L374" s="358" t="s">
        <v>3878</v>
      </c>
      <c r="M374" s="358" t="s">
        <v>1063</v>
      </c>
      <c r="N374" s="358" t="s">
        <v>3879</v>
      </c>
      <c r="O374" s="358" t="s">
        <v>3880</v>
      </c>
    </row>
    <row r="375">
      <c r="A375" s="358" t="s">
        <v>3881</v>
      </c>
      <c r="B375" s="358">
        <v>1391.0</v>
      </c>
      <c r="C375" s="358" t="s">
        <v>3882</v>
      </c>
      <c r="D375" s="359">
        <v>33974.0</v>
      </c>
      <c r="E375" s="358">
        <v>5.72044173E8</v>
      </c>
      <c r="F375" s="358" t="s">
        <v>3883</v>
      </c>
      <c r="G375" s="358" t="s">
        <v>2391</v>
      </c>
      <c r="H375" s="358" t="s">
        <v>3884</v>
      </c>
      <c r="I375" s="362" t="s">
        <v>3885</v>
      </c>
      <c r="J375" s="358">
        <v>8.718518E7</v>
      </c>
      <c r="K375" s="358" t="s">
        <v>3886</v>
      </c>
      <c r="L375" s="358" t="s">
        <v>3887</v>
      </c>
      <c r="M375" s="358" t="s">
        <v>1063</v>
      </c>
      <c r="N375" s="358" t="s">
        <v>3888</v>
      </c>
      <c r="O375" s="358" t="s">
        <v>1810</v>
      </c>
    </row>
    <row r="376">
      <c r="A376" s="358" t="s">
        <v>3889</v>
      </c>
      <c r="B376" s="358">
        <v>1135.0</v>
      </c>
      <c r="C376" s="358" t="s">
        <v>3890</v>
      </c>
      <c r="D376" s="359">
        <v>29428.0</v>
      </c>
      <c r="E376" s="358">
        <v>5.68506376E8</v>
      </c>
      <c r="F376" s="358" t="s">
        <v>3891</v>
      </c>
      <c r="G376" s="360" t="s">
        <v>1058</v>
      </c>
      <c r="H376" s="358" t="s">
        <v>1549</v>
      </c>
      <c r="I376" s="362" t="s">
        <v>3892</v>
      </c>
      <c r="J376" s="358">
        <v>8.2499861E7</v>
      </c>
      <c r="K376" s="358" t="s">
        <v>3893</v>
      </c>
      <c r="L376" s="358" t="s">
        <v>3894</v>
      </c>
      <c r="M376" s="358" t="s">
        <v>1063</v>
      </c>
      <c r="N376" s="358" t="s">
        <v>3895</v>
      </c>
      <c r="O376" s="358" t="s">
        <v>1898</v>
      </c>
    </row>
    <row r="377">
      <c r="A377" s="358" t="s">
        <v>3896</v>
      </c>
      <c r="B377" s="358">
        <v>1590.0</v>
      </c>
      <c r="C377" s="358" t="s">
        <v>3897</v>
      </c>
      <c r="D377" s="359">
        <v>32807.0</v>
      </c>
      <c r="E377" s="358">
        <v>3.67390085E8</v>
      </c>
      <c r="F377" s="358" t="s">
        <v>3898</v>
      </c>
      <c r="G377" s="358" t="s">
        <v>3899</v>
      </c>
      <c r="H377" s="358" t="s">
        <v>3900</v>
      </c>
      <c r="I377" s="362" t="s">
        <v>3901</v>
      </c>
      <c r="J377" s="358">
        <v>9.2979572E7</v>
      </c>
      <c r="K377" s="358" t="s">
        <v>3902</v>
      </c>
      <c r="L377" s="358" t="s">
        <v>3903</v>
      </c>
      <c r="M377" s="358" t="s">
        <v>1063</v>
      </c>
      <c r="N377" s="358" t="s">
        <v>3904</v>
      </c>
      <c r="O377" s="358" t="s">
        <v>3905</v>
      </c>
    </row>
    <row r="378">
      <c r="A378" s="358" t="s">
        <v>3906</v>
      </c>
      <c r="B378" s="358">
        <v>1123.0</v>
      </c>
      <c r="C378" s="358" t="s">
        <v>1066</v>
      </c>
      <c r="D378" s="359">
        <v>28300.0</v>
      </c>
      <c r="E378" s="358">
        <v>4.73216504E8</v>
      </c>
      <c r="F378" s="358" t="s">
        <v>3907</v>
      </c>
      <c r="G378" s="360" t="s">
        <v>1058</v>
      </c>
      <c r="H378" s="358" t="s">
        <v>3908</v>
      </c>
      <c r="I378" s="362" t="s">
        <v>3909</v>
      </c>
      <c r="J378" s="358">
        <v>8.2136548E7</v>
      </c>
      <c r="K378" s="358" t="s">
        <v>3910</v>
      </c>
      <c r="L378" s="358" t="s">
        <v>3911</v>
      </c>
      <c r="M378" s="358" t="s">
        <v>1063</v>
      </c>
      <c r="N378" s="358" t="s">
        <v>3912</v>
      </c>
      <c r="O378" s="358" t="s">
        <v>3913</v>
      </c>
    </row>
    <row r="379">
      <c r="A379" s="358" t="s">
        <v>3914</v>
      </c>
      <c r="B379" s="358">
        <v>970.0</v>
      </c>
      <c r="C379" s="358" t="s">
        <v>122</v>
      </c>
      <c r="D379" s="359">
        <v>31016.0</v>
      </c>
      <c r="E379" s="358">
        <v>2.80799408E8</v>
      </c>
      <c r="F379" s="358" t="s">
        <v>3915</v>
      </c>
      <c r="G379" s="358" t="s">
        <v>3916</v>
      </c>
      <c r="H379" s="358" t="s">
        <v>3917</v>
      </c>
      <c r="I379" s="362" t="s">
        <v>3918</v>
      </c>
      <c r="J379" s="358">
        <v>7.7833538E7</v>
      </c>
      <c r="K379" s="358" t="s">
        <v>3919</v>
      </c>
      <c r="L379" s="358" t="s">
        <v>3920</v>
      </c>
      <c r="M379" s="358" t="s">
        <v>1063</v>
      </c>
      <c r="N379" s="358" t="s">
        <v>3921</v>
      </c>
      <c r="O379" s="358" t="s">
        <v>3922</v>
      </c>
    </row>
    <row r="380">
      <c r="A380" s="358" t="s">
        <v>3923</v>
      </c>
      <c r="B380" s="358">
        <v>1535.0</v>
      </c>
      <c r="C380" s="358" t="s">
        <v>3924</v>
      </c>
      <c r="D380" s="359">
        <v>32509.0</v>
      </c>
      <c r="E380" s="358">
        <v>5.55281401E8</v>
      </c>
      <c r="F380" s="358" t="s">
        <v>3925</v>
      </c>
      <c r="G380" s="360" t="s">
        <v>3926</v>
      </c>
      <c r="H380" s="358" t="s">
        <v>3927</v>
      </c>
      <c r="I380" s="362" t="s">
        <v>3928</v>
      </c>
      <c r="J380" s="358">
        <v>9.1327458E7</v>
      </c>
      <c r="K380" s="358" t="s">
        <v>3929</v>
      </c>
      <c r="L380" s="358" t="s">
        <v>3930</v>
      </c>
      <c r="M380" s="358" t="s">
        <v>1063</v>
      </c>
      <c r="N380" s="358" t="s">
        <v>3931</v>
      </c>
      <c r="O380" s="358" t="s">
        <v>3932</v>
      </c>
    </row>
    <row r="381">
      <c r="A381" s="358" t="s">
        <v>3933</v>
      </c>
      <c r="B381" s="358">
        <v>304.0</v>
      </c>
      <c r="C381" s="358" t="s">
        <v>3890</v>
      </c>
      <c r="D381" s="359">
        <v>26956.0</v>
      </c>
      <c r="E381" s="358">
        <v>3.1616195E8</v>
      </c>
      <c r="F381" s="358" t="s">
        <v>3907</v>
      </c>
      <c r="G381" s="360" t="s">
        <v>1058</v>
      </c>
      <c r="H381" s="358" t="s">
        <v>3908</v>
      </c>
      <c r="I381" s="362" t="s">
        <v>3934</v>
      </c>
      <c r="J381" s="358">
        <v>6.5863569E7</v>
      </c>
      <c r="K381" s="358" t="s">
        <v>3935</v>
      </c>
      <c r="L381" s="358" t="s">
        <v>3936</v>
      </c>
      <c r="M381" s="358" t="s">
        <v>1063</v>
      </c>
      <c r="N381" s="358" t="s">
        <v>3937</v>
      </c>
      <c r="O381" s="358" t="s">
        <v>1212</v>
      </c>
    </row>
    <row r="382">
      <c r="A382" s="358" t="s">
        <v>3938</v>
      </c>
      <c r="B382" s="358">
        <v>1575.0</v>
      </c>
      <c r="C382" s="358" t="s">
        <v>2458</v>
      </c>
      <c r="D382" s="359">
        <v>28605.0</v>
      </c>
      <c r="E382" s="358">
        <v>4.02697443E8</v>
      </c>
      <c r="F382" s="358" t="s">
        <v>3939</v>
      </c>
      <c r="G382" s="360" t="s">
        <v>1058</v>
      </c>
      <c r="H382" s="358" t="s">
        <v>3940</v>
      </c>
      <c r="I382" s="362" t="s">
        <v>3941</v>
      </c>
      <c r="J382" s="358">
        <v>9.2453856E7</v>
      </c>
      <c r="K382" s="358" t="s">
        <v>3942</v>
      </c>
      <c r="L382" s="358" t="s">
        <v>3943</v>
      </c>
      <c r="M382" s="358" t="s">
        <v>1063</v>
      </c>
      <c r="N382" s="358" t="s">
        <v>3944</v>
      </c>
      <c r="O382" s="358" t="s">
        <v>1711</v>
      </c>
    </row>
    <row r="383">
      <c r="A383" s="358" t="s">
        <v>3945</v>
      </c>
      <c r="B383" s="358">
        <v>1425.0</v>
      </c>
      <c r="C383" s="358" t="s">
        <v>3946</v>
      </c>
      <c r="D383" s="359">
        <v>32300.0</v>
      </c>
      <c r="E383" s="358">
        <v>5.16526686E8</v>
      </c>
      <c r="F383" s="358" t="s">
        <v>3947</v>
      </c>
      <c r="G383" s="358" t="s">
        <v>3948</v>
      </c>
      <c r="H383" s="358" t="s">
        <v>3949</v>
      </c>
      <c r="I383" s="362" t="s">
        <v>3950</v>
      </c>
      <c r="J383" s="358">
        <v>8.7915677E7</v>
      </c>
      <c r="K383" s="358" t="s">
        <v>3951</v>
      </c>
      <c r="L383" s="358" t="s">
        <v>3952</v>
      </c>
      <c r="M383" s="358" t="s">
        <v>1063</v>
      </c>
      <c r="N383" s="358" t="s">
        <v>3953</v>
      </c>
      <c r="O383" s="358" t="s">
        <v>3954</v>
      </c>
    </row>
    <row r="384">
      <c r="A384" s="358" t="s">
        <v>3955</v>
      </c>
      <c r="B384" s="358">
        <v>1424.0</v>
      </c>
      <c r="C384" s="358" t="s">
        <v>3946</v>
      </c>
      <c r="D384" s="359">
        <v>32300.0</v>
      </c>
      <c r="E384" s="358">
        <v>5.16526686E8</v>
      </c>
      <c r="F384" s="358" t="s">
        <v>3947</v>
      </c>
      <c r="G384" s="358" t="s">
        <v>3948</v>
      </c>
      <c r="H384" s="358" t="s">
        <v>3949</v>
      </c>
      <c r="I384" s="362" t="s">
        <v>3956</v>
      </c>
      <c r="J384" s="358">
        <v>8.7914026E7</v>
      </c>
      <c r="K384" s="358" t="s">
        <v>1061</v>
      </c>
      <c r="L384" s="358" t="s">
        <v>3957</v>
      </c>
      <c r="M384" s="358" t="s">
        <v>1063</v>
      </c>
      <c r="N384" s="358" t="s">
        <v>3958</v>
      </c>
      <c r="O384" s="358" t="s">
        <v>3954</v>
      </c>
    </row>
    <row r="385">
      <c r="A385" s="358" t="s">
        <v>3959</v>
      </c>
      <c r="B385" s="358">
        <v>882.0</v>
      </c>
      <c r="C385" s="358" t="s">
        <v>3960</v>
      </c>
      <c r="D385" s="359">
        <v>34462.0</v>
      </c>
      <c r="E385" s="358">
        <v>5.49698516E8</v>
      </c>
      <c r="F385" s="358" t="s">
        <v>3961</v>
      </c>
      <c r="G385" s="360" t="s">
        <v>1058</v>
      </c>
      <c r="H385" s="358" t="s">
        <v>3962</v>
      </c>
      <c r="I385" s="362" t="s">
        <v>3963</v>
      </c>
      <c r="J385" s="358">
        <v>7.648881E7</v>
      </c>
      <c r="K385" s="358" t="s">
        <v>3964</v>
      </c>
      <c r="L385" s="358" t="s">
        <v>3965</v>
      </c>
      <c r="M385" s="358" t="s">
        <v>1063</v>
      </c>
      <c r="N385" s="358" t="s">
        <v>3966</v>
      </c>
      <c r="O385" s="358" t="s">
        <v>3967</v>
      </c>
    </row>
    <row r="386">
      <c r="A386" s="358" t="s">
        <v>3968</v>
      </c>
      <c r="B386" s="358">
        <v>929.0</v>
      </c>
      <c r="C386" s="358" t="s">
        <v>3337</v>
      </c>
      <c r="D386" s="359">
        <v>26611.0</v>
      </c>
      <c r="E386" s="358">
        <v>4.4717611E8</v>
      </c>
      <c r="F386" s="358" t="s">
        <v>3969</v>
      </c>
      <c r="G386" s="360" t="s">
        <v>1058</v>
      </c>
      <c r="H386" s="358" t="s">
        <v>3970</v>
      </c>
      <c r="I386" s="362" t="s">
        <v>3971</v>
      </c>
      <c r="J386" s="358">
        <v>7.7573838E7</v>
      </c>
      <c r="K386" s="358" t="s">
        <v>3972</v>
      </c>
      <c r="L386" s="358" t="s">
        <v>3973</v>
      </c>
      <c r="M386" s="358" t="s">
        <v>1063</v>
      </c>
      <c r="N386" s="358" t="s">
        <v>3974</v>
      </c>
      <c r="O386" s="358" t="s">
        <v>3975</v>
      </c>
    </row>
    <row r="387">
      <c r="A387" s="358" t="s">
        <v>3976</v>
      </c>
      <c r="B387" s="358">
        <v>1401.0</v>
      </c>
      <c r="C387" s="358" t="s">
        <v>1168</v>
      </c>
      <c r="D387" s="359">
        <v>27500.0</v>
      </c>
      <c r="E387" s="358">
        <v>4.50131154E8</v>
      </c>
      <c r="F387" s="358" t="s">
        <v>3977</v>
      </c>
      <c r="G387" s="360" t="s">
        <v>1058</v>
      </c>
      <c r="H387" s="358" t="s">
        <v>3978</v>
      </c>
      <c r="I387" s="362" t="s">
        <v>3979</v>
      </c>
      <c r="J387" s="358">
        <v>8.7332671E7</v>
      </c>
      <c r="K387" s="358" t="s">
        <v>3980</v>
      </c>
      <c r="L387" s="358" t="s">
        <v>3981</v>
      </c>
      <c r="M387" s="358" t="s">
        <v>1063</v>
      </c>
      <c r="N387" s="358" t="s">
        <v>3982</v>
      </c>
      <c r="O387" s="358" t="s">
        <v>3983</v>
      </c>
    </row>
    <row r="388">
      <c r="A388" s="358" t="s">
        <v>3984</v>
      </c>
      <c r="B388" s="358">
        <v>1061.0</v>
      </c>
      <c r="C388" s="358" t="s">
        <v>3985</v>
      </c>
      <c r="D388" s="359">
        <v>28762.0</v>
      </c>
      <c r="E388" s="358">
        <v>3.77337158E8</v>
      </c>
      <c r="F388" s="358" t="s">
        <v>3986</v>
      </c>
      <c r="G388" s="360" t="s">
        <v>1058</v>
      </c>
      <c r="H388" s="358" t="s">
        <v>3987</v>
      </c>
      <c r="I388" s="362" t="s">
        <v>3988</v>
      </c>
      <c r="J388" s="358">
        <v>9.6139188E7</v>
      </c>
      <c r="K388" s="358" t="s">
        <v>3989</v>
      </c>
      <c r="L388" s="358" t="s">
        <v>3990</v>
      </c>
      <c r="M388" s="358" t="s">
        <v>1063</v>
      </c>
      <c r="N388" s="358" t="s">
        <v>3991</v>
      </c>
      <c r="O388" s="358" t="s">
        <v>1121</v>
      </c>
    </row>
    <row r="389">
      <c r="A389" s="358" t="s">
        <v>3992</v>
      </c>
      <c r="B389" s="358">
        <v>1013.0</v>
      </c>
      <c r="C389" s="358" t="s">
        <v>2373</v>
      </c>
      <c r="D389" s="359">
        <v>35895.0</v>
      </c>
      <c r="E389" s="358">
        <v>3.42345217E8</v>
      </c>
      <c r="F389" s="358" t="s">
        <v>3993</v>
      </c>
      <c r="G389" s="358" t="s">
        <v>3994</v>
      </c>
      <c r="H389" s="358" t="s">
        <v>3995</v>
      </c>
      <c r="I389" s="362" t="s">
        <v>3996</v>
      </c>
      <c r="J389" s="358">
        <v>7.8731038E7</v>
      </c>
      <c r="K389" s="358" t="s">
        <v>3997</v>
      </c>
      <c r="L389" s="358" t="s">
        <v>3998</v>
      </c>
      <c r="M389" s="358" t="s">
        <v>1151</v>
      </c>
      <c r="N389" s="358" t="s">
        <v>3999</v>
      </c>
      <c r="O389" s="358" t="s">
        <v>4000</v>
      </c>
    </row>
    <row r="390">
      <c r="A390" s="358" t="s">
        <v>4001</v>
      </c>
      <c r="B390" s="358">
        <v>1098.0</v>
      </c>
      <c r="C390" s="358" t="s">
        <v>3114</v>
      </c>
      <c r="D390" s="359">
        <v>21914.0</v>
      </c>
      <c r="E390" s="358">
        <v>5.04557701E8</v>
      </c>
      <c r="F390" s="358" t="s">
        <v>4002</v>
      </c>
      <c r="G390" s="360" t="s">
        <v>1058</v>
      </c>
      <c r="H390" s="358" t="s">
        <v>4003</v>
      </c>
      <c r="I390" s="362" t="s">
        <v>4004</v>
      </c>
      <c r="J390" s="358">
        <v>8.1523912E7</v>
      </c>
      <c r="K390" s="358" t="s">
        <v>4005</v>
      </c>
      <c r="L390" s="358" t="s">
        <v>4006</v>
      </c>
      <c r="M390" s="358" t="s">
        <v>1063</v>
      </c>
      <c r="N390" s="358" t="s">
        <v>4007</v>
      </c>
      <c r="O390" s="358" t="s">
        <v>4008</v>
      </c>
    </row>
    <row r="391">
      <c r="A391" s="358" t="s">
        <v>4009</v>
      </c>
      <c r="B391" s="358">
        <v>299.0</v>
      </c>
      <c r="C391" s="358" t="s">
        <v>2176</v>
      </c>
      <c r="D391" s="359">
        <v>29466.0</v>
      </c>
      <c r="E391" s="358">
        <v>4.74370252E8</v>
      </c>
      <c r="F391" s="358" t="s">
        <v>4010</v>
      </c>
      <c r="G391" s="360" t="s">
        <v>1058</v>
      </c>
      <c r="H391" s="358" t="s">
        <v>3384</v>
      </c>
      <c r="I391" s="362" t="s">
        <v>4011</v>
      </c>
      <c r="J391" s="358">
        <v>6.5682955E7</v>
      </c>
      <c r="K391" s="358" t="s">
        <v>4012</v>
      </c>
      <c r="L391" s="358" t="s">
        <v>4013</v>
      </c>
      <c r="M391" s="358" t="s">
        <v>1063</v>
      </c>
      <c r="N391" s="358" t="s">
        <v>4014</v>
      </c>
      <c r="O391" s="358" t="s">
        <v>4009</v>
      </c>
    </row>
    <row r="392">
      <c r="A392" s="358" t="s">
        <v>4015</v>
      </c>
      <c r="B392" s="358">
        <v>1371.0</v>
      </c>
      <c r="C392" s="358" t="s">
        <v>4016</v>
      </c>
      <c r="D392" s="359">
        <v>27572.0</v>
      </c>
      <c r="E392" s="358">
        <v>2.9364917E8</v>
      </c>
      <c r="F392" s="358" t="s">
        <v>1911</v>
      </c>
      <c r="G392" s="360" t="s">
        <v>1058</v>
      </c>
      <c r="H392" s="358" t="s">
        <v>4017</v>
      </c>
      <c r="I392" s="362" t="s">
        <v>4018</v>
      </c>
      <c r="J392" s="358">
        <v>8.4217782E7</v>
      </c>
      <c r="K392" s="358" t="s">
        <v>4019</v>
      </c>
      <c r="L392" s="358" t="s">
        <v>4020</v>
      </c>
      <c r="M392" s="358" t="s">
        <v>1063</v>
      </c>
      <c r="N392" s="358" t="s">
        <v>4021</v>
      </c>
      <c r="O392" s="358" t="s">
        <v>1916</v>
      </c>
    </row>
    <row r="393">
      <c r="A393" s="358" t="s">
        <v>4022</v>
      </c>
      <c r="B393" s="358">
        <v>137.0</v>
      </c>
      <c r="C393" s="358" t="s">
        <v>1319</v>
      </c>
      <c r="D393" s="359">
        <v>32276.0</v>
      </c>
      <c r="E393" s="358">
        <v>4.15794109E8</v>
      </c>
      <c r="F393" s="358" t="s">
        <v>4023</v>
      </c>
      <c r="G393" s="358" t="s">
        <v>4024</v>
      </c>
      <c r="H393" s="358" t="s">
        <v>4025</v>
      </c>
      <c r="I393" s="362" t="s">
        <v>4026</v>
      </c>
      <c r="J393" s="358">
        <v>6.1830011E7</v>
      </c>
      <c r="K393" s="358" t="s">
        <v>4027</v>
      </c>
      <c r="L393" s="358" t="s">
        <v>4028</v>
      </c>
      <c r="M393" s="358" t="s">
        <v>1063</v>
      </c>
      <c r="N393" s="358" t="s">
        <v>4029</v>
      </c>
      <c r="O393" s="358" t="s">
        <v>1317</v>
      </c>
    </row>
    <row r="394">
      <c r="A394" s="358" t="s">
        <v>4030</v>
      </c>
      <c r="B394" s="358">
        <v>1593.0</v>
      </c>
      <c r="C394" s="358" t="s">
        <v>4031</v>
      </c>
      <c r="D394" s="359">
        <v>33212.0</v>
      </c>
      <c r="E394" s="358">
        <v>2.08375624E8</v>
      </c>
      <c r="F394" s="358" t="s">
        <v>4032</v>
      </c>
      <c r="G394" s="358" t="s">
        <v>1574</v>
      </c>
      <c r="H394" s="358" t="s">
        <v>4033</v>
      </c>
      <c r="I394" s="362" t="s">
        <v>4034</v>
      </c>
      <c r="J394" s="358">
        <v>9.1238641E7</v>
      </c>
      <c r="K394" s="358" t="s">
        <v>4035</v>
      </c>
      <c r="L394" s="358" t="s">
        <v>4036</v>
      </c>
      <c r="M394" s="358" t="s">
        <v>1063</v>
      </c>
      <c r="N394" s="358" t="s">
        <v>4037</v>
      </c>
      <c r="O394" s="358" t="s">
        <v>4038</v>
      </c>
    </row>
    <row r="395">
      <c r="A395" s="358" t="s">
        <v>4039</v>
      </c>
      <c r="B395" s="358">
        <v>1290.0</v>
      </c>
      <c r="C395" s="358" t="s">
        <v>4040</v>
      </c>
      <c r="D395" s="359">
        <v>32931.0</v>
      </c>
      <c r="E395" s="358">
        <v>5.15854906E8</v>
      </c>
      <c r="F395" s="358" t="s">
        <v>4041</v>
      </c>
      <c r="G395" s="360" t="s">
        <v>1058</v>
      </c>
      <c r="H395" s="358" t="s">
        <v>4042</v>
      </c>
      <c r="I395" s="362" t="s">
        <v>4043</v>
      </c>
      <c r="J395" s="358">
        <v>8.5452378E7</v>
      </c>
      <c r="K395" s="358" t="s">
        <v>4044</v>
      </c>
      <c r="L395" s="358" t="s">
        <v>4045</v>
      </c>
      <c r="M395" s="358" t="s">
        <v>1151</v>
      </c>
      <c r="N395" s="358" t="s">
        <v>4046</v>
      </c>
      <c r="O395" s="358" t="s">
        <v>4047</v>
      </c>
    </row>
    <row r="396">
      <c r="A396" s="358" t="s">
        <v>4048</v>
      </c>
      <c r="B396" s="358">
        <v>906.0</v>
      </c>
      <c r="C396" s="358" t="s">
        <v>2090</v>
      </c>
      <c r="D396" s="359">
        <v>32682.0</v>
      </c>
      <c r="E396" s="358">
        <v>4.96049896E8</v>
      </c>
      <c r="F396" s="358" t="s">
        <v>4049</v>
      </c>
      <c r="G396" s="360" t="s">
        <v>1058</v>
      </c>
      <c r="H396" s="358" t="s">
        <v>4050</v>
      </c>
      <c r="I396" s="362" t="s">
        <v>4051</v>
      </c>
      <c r="J396" s="358">
        <v>7.7342828E7</v>
      </c>
      <c r="K396" s="358" t="s">
        <v>4052</v>
      </c>
      <c r="L396" s="358" t="s">
        <v>4053</v>
      </c>
      <c r="M396" s="358" t="s">
        <v>1063</v>
      </c>
      <c r="N396" s="358" t="s">
        <v>4054</v>
      </c>
      <c r="O396" s="358" t="s">
        <v>4055</v>
      </c>
    </row>
    <row r="397">
      <c r="A397" s="358" t="s">
        <v>4056</v>
      </c>
      <c r="B397" s="358">
        <v>1038.0</v>
      </c>
      <c r="C397" s="358" t="s">
        <v>4057</v>
      </c>
      <c r="D397" s="359">
        <v>28883.0</v>
      </c>
      <c r="E397" s="358">
        <v>5.40165062E8</v>
      </c>
      <c r="F397" s="358" t="s">
        <v>4058</v>
      </c>
      <c r="G397" s="360" t="s">
        <v>1058</v>
      </c>
      <c r="H397" s="358" t="s">
        <v>4059</v>
      </c>
      <c r="I397" s="362" t="s">
        <v>4060</v>
      </c>
      <c r="J397" s="358">
        <v>8.0685471E7</v>
      </c>
      <c r="K397" s="358" t="s">
        <v>4061</v>
      </c>
      <c r="L397" s="358" t="s">
        <v>4062</v>
      </c>
      <c r="M397" s="358" t="s">
        <v>1063</v>
      </c>
      <c r="N397" s="358" t="s">
        <v>4063</v>
      </c>
      <c r="O397" s="358" t="s">
        <v>1197</v>
      </c>
    </row>
    <row r="398">
      <c r="A398" s="358" t="s">
        <v>4064</v>
      </c>
      <c r="B398" s="358">
        <v>1160.0</v>
      </c>
      <c r="C398" s="358" t="s">
        <v>4040</v>
      </c>
      <c r="D398" s="359">
        <v>31454.0</v>
      </c>
      <c r="E398" s="358">
        <v>4.09186156E8</v>
      </c>
      <c r="F398" s="358" t="s">
        <v>4065</v>
      </c>
      <c r="G398" s="360" t="s">
        <v>1058</v>
      </c>
      <c r="H398" s="358" t="s">
        <v>4066</v>
      </c>
      <c r="I398" s="362" t="s">
        <v>4067</v>
      </c>
      <c r="J398" s="358">
        <v>8.2576599E7</v>
      </c>
      <c r="K398" s="358" t="s">
        <v>4068</v>
      </c>
      <c r="L398" s="358" t="s">
        <v>4069</v>
      </c>
      <c r="M398" s="358" t="s">
        <v>1063</v>
      </c>
      <c r="N398" s="358" t="s">
        <v>4070</v>
      </c>
      <c r="O398" s="358" t="s">
        <v>1236</v>
      </c>
    </row>
    <row r="399">
      <c r="A399" s="358" t="s">
        <v>4071</v>
      </c>
      <c r="B399" s="358">
        <v>763.0</v>
      </c>
      <c r="C399" s="358" t="s">
        <v>1900</v>
      </c>
      <c r="D399" s="359">
        <v>26252.0</v>
      </c>
      <c r="E399" s="358">
        <v>4.44305452E8</v>
      </c>
      <c r="F399" s="358" t="s">
        <v>3451</v>
      </c>
      <c r="G399" s="358" t="s">
        <v>74</v>
      </c>
      <c r="H399" s="358" t="s">
        <v>3452</v>
      </c>
      <c r="I399" s="362" t="s">
        <v>4072</v>
      </c>
      <c r="J399" s="358">
        <v>7.4630644E7</v>
      </c>
      <c r="K399" s="358" t="s">
        <v>4073</v>
      </c>
      <c r="L399" s="358" t="s">
        <v>4074</v>
      </c>
      <c r="M399" s="358" t="s">
        <v>1063</v>
      </c>
      <c r="N399" s="358" t="s">
        <v>4075</v>
      </c>
      <c r="O399" s="358" t="s">
        <v>2978</v>
      </c>
    </row>
    <row r="400">
      <c r="A400" s="358" t="s">
        <v>4076</v>
      </c>
      <c r="B400" s="358">
        <v>957.0</v>
      </c>
      <c r="C400" s="358" t="s">
        <v>1758</v>
      </c>
      <c r="D400" s="359">
        <v>30503.0</v>
      </c>
      <c r="E400" s="358">
        <v>5.60012871E8</v>
      </c>
      <c r="F400" s="358" t="s">
        <v>4041</v>
      </c>
      <c r="G400" s="360" t="s">
        <v>1058</v>
      </c>
      <c r="H400" s="358" t="s">
        <v>4042</v>
      </c>
      <c r="I400" s="362" t="s">
        <v>4077</v>
      </c>
      <c r="J400" s="358">
        <v>7.7188675E7</v>
      </c>
      <c r="K400" s="358" t="s">
        <v>4078</v>
      </c>
      <c r="L400" s="358" t="s">
        <v>4079</v>
      </c>
      <c r="M400" s="358" t="s">
        <v>1063</v>
      </c>
      <c r="N400" s="358" t="s">
        <v>4080</v>
      </c>
      <c r="O400" s="358" t="s">
        <v>4081</v>
      </c>
    </row>
    <row r="401">
      <c r="A401" s="358" t="s">
        <v>4082</v>
      </c>
      <c r="B401" s="358">
        <v>789.0</v>
      </c>
      <c r="C401" s="358" t="s">
        <v>1900</v>
      </c>
      <c r="D401" s="359">
        <v>27595.0</v>
      </c>
      <c r="E401" s="358">
        <v>3.76730857E8</v>
      </c>
      <c r="F401" s="358" t="s">
        <v>4083</v>
      </c>
      <c r="G401" s="360" t="s">
        <v>1058</v>
      </c>
      <c r="H401" s="358" t="s">
        <v>4084</v>
      </c>
      <c r="I401" s="362" t="s">
        <v>4085</v>
      </c>
      <c r="J401" s="358">
        <v>7.472138E7</v>
      </c>
      <c r="K401" s="358" t="s">
        <v>4086</v>
      </c>
      <c r="L401" s="358" t="s">
        <v>4087</v>
      </c>
      <c r="M401" s="358" t="s">
        <v>1063</v>
      </c>
      <c r="N401" s="358" t="s">
        <v>4088</v>
      </c>
      <c r="O401" s="358" t="s">
        <v>3173</v>
      </c>
    </row>
    <row r="402">
      <c r="A402" s="358" t="s">
        <v>4089</v>
      </c>
      <c r="B402" s="358">
        <v>572.0</v>
      </c>
      <c r="C402" s="358" t="s">
        <v>1349</v>
      </c>
      <c r="D402" s="359">
        <v>34661.0</v>
      </c>
      <c r="E402" s="358">
        <v>3.49148119E8</v>
      </c>
      <c r="F402" s="358" t="s">
        <v>4090</v>
      </c>
      <c r="G402" s="360" t="s">
        <v>1058</v>
      </c>
      <c r="H402" s="358" t="s">
        <v>4091</v>
      </c>
      <c r="I402" s="362" t="s">
        <v>4092</v>
      </c>
      <c r="J402" s="358">
        <v>7.1561226E7</v>
      </c>
      <c r="K402" s="358" t="s">
        <v>4093</v>
      </c>
      <c r="L402" s="358" t="s">
        <v>4094</v>
      </c>
      <c r="M402" s="358" t="s">
        <v>1063</v>
      </c>
      <c r="N402" s="358" t="s">
        <v>4095</v>
      </c>
      <c r="O402" s="358" t="s">
        <v>4096</v>
      </c>
    </row>
    <row r="403">
      <c r="A403" s="358" t="s">
        <v>4097</v>
      </c>
      <c r="B403" s="358">
        <v>1667.0</v>
      </c>
      <c r="C403" s="358" t="s">
        <v>4098</v>
      </c>
      <c r="D403" s="359">
        <v>27534.0</v>
      </c>
      <c r="E403" s="358">
        <v>2.64266961E8</v>
      </c>
      <c r="F403" s="358" t="s">
        <v>4099</v>
      </c>
      <c r="G403" s="360" t="s">
        <v>1058</v>
      </c>
      <c r="H403" s="358" t="s">
        <v>4100</v>
      </c>
      <c r="I403" s="362" t="s">
        <v>4101</v>
      </c>
      <c r="J403" s="358">
        <v>2.733023E7</v>
      </c>
      <c r="K403" s="358" t="s">
        <v>4102</v>
      </c>
      <c r="L403" s="358" t="s">
        <v>4103</v>
      </c>
      <c r="M403" s="358" t="s">
        <v>1063</v>
      </c>
      <c r="N403" s="358" t="s">
        <v>4104</v>
      </c>
      <c r="O403" s="358" t="s">
        <v>4105</v>
      </c>
    </row>
    <row r="404">
      <c r="A404" s="358" t="s">
        <v>4106</v>
      </c>
      <c r="B404" s="358">
        <v>1460.0</v>
      </c>
      <c r="C404" s="358" t="s">
        <v>1333</v>
      </c>
      <c r="D404" s="359">
        <v>31694.0</v>
      </c>
      <c r="E404" s="358">
        <v>5.39250144E8</v>
      </c>
      <c r="F404" s="358" t="s">
        <v>4107</v>
      </c>
      <c r="G404" s="360" t="s">
        <v>1058</v>
      </c>
      <c r="H404" s="358" t="s">
        <v>4108</v>
      </c>
      <c r="I404" s="362" t="s">
        <v>4109</v>
      </c>
      <c r="J404" s="358">
        <v>8.9179153E7</v>
      </c>
      <c r="K404" s="358" t="s">
        <v>4110</v>
      </c>
      <c r="L404" s="358" t="s">
        <v>4111</v>
      </c>
      <c r="M404" s="358" t="s">
        <v>1063</v>
      </c>
      <c r="N404" s="358" t="s">
        <v>4112</v>
      </c>
      <c r="O404" s="358" t="s">
        <v>1096</v>
      </c>
    </row>
    <row r="405">
      <c r="A405" s="358" t="s">
        <v>4113</v>
      </c>
      <c r="B405" s="358">
        <v>1390.0</v>
      </c>
      <c r="C405" s="358" t="s">
        <v>1781</v>
      </c>
      <c r="D405" s="359">
        <v>36105.0</v>
      </c>
      <c r="E405" s="358">
        <v>4.08696278E8</v>
      </c>
      <c r="F405" s="358" t="s">
        <v>4114</v>
      </c>
      <c r="G405" s="360" t="s">
        <v>1058</v>
      </c>
      <c r="H405" s="358" t="s">
        <v>4115</v>
      </c>
      <c r="I405" s="361" t="s">
        <v>4116</v>
      </c>
      <c r="J405" s="358">
        <v>8.6778242E7</v>
      </c>
      <c r="K405" s="358" t="s">
        <v>4117</v>
      </c>
      <c r="L405" s="358" t="s">
        <v>4118</v>
      </c>
      <c r="M405" s="358" t="s">
        <v>1063</v>
      </c>
      <c r="N405" s="358" t="s">
        <v>4119</v>
      </c>
      <c r="O405" s="358" t="s">
        <v>4120</v>
      </c>
    </row>
    <row r="406">
      <c r="A406" s="358" t="s">
        <v>4121</v>
      </c>
      <c r="B406" s="358">
        <v>359.0</v>
      </c>
      <c r="C406" s="358" t="s">
        <v>4122</v>
      </c>
      <c r="D406" s="359">
        <v>29959.0</v>
      </c>
      <c r="E406" s="358">
        <v>4.50390536E8</v>
      </c>
      <c r="F406" s="358" t="s">
        <v>4123</v>
      </c>
      <c r="G406" s="360" t="s">
        <v>1058</v>
      </c>
      <c r="H406" s="358" t="s">
        <v>4124</v>
      </c>
      <c r="I406" s="362" t="s">
        <v>4125</v>
      </c>
      <c r="J406" s="358">
        <v>6.7325645E7</v>
      </c>
      <c r="K406" s="358" t="s">
        <v>4126</v>
      </c>
      <c r="L406" s="358" t="s">
        <v>4127</v>
      </c>
      <c r="M406" s="358" t="s">
        <v>1063</v>
      </c>
      <c r="N406" s="358" t="s">
        <v>4128</v>
      </c>
      <c r="O406" s="358" t="s">
        <v>4129</v>
      </c>
    </row>
    <row r="407">
      <c r="A407" s="358" t="s">
        <v>4130</v>
      </c>
      <c r="B407" s="358">
        <v>772.0</v>
      </c>
      <c r="C407" s="358" t="s">
        <v>4057</v>
      </c>
      <c r="D407" s="359">
        <v>30746.0</v>
      </c>
      <c r="E407" s="358">
        <v>3.58647502E8</v>
      </c>
      <c r="F407" s="358" t="s">
        <v>4131</v>
      </c>
      <c r="G407" s="360" t="s">
        <v>1058</v>
      </c>
      <c r="H407" s="358" t="s">
        <v>3019</v>
      </c>
      <c r="I407" s="362" t="s">
        <v>4132</v>
      </c>
      <c r="J407" s="358">
        <v>7.4573098E7</v>
      </c>
      <c r="K407" s="358" t="s">
        <v>4133</v>
      </c>
      <c r="L407" s="358" t="s">
        <v>4134</v>
      </c>
      <c r="M407" s="358" t="s">
        <v>1063</v>
      </c>
      <c r="N407" s="358" t="s">
        <v>4135</v>
      </c>
      <c r="O407" s="358" t="s">
        <v>4136</v>
      </c>
    </row>
    <row r="408">
      <c r="A408" s="358" t="s">
        <v>4137</v>
      </c>
      <c r="B408" s="358">
        <v>1263.0</v>
      </c>
      <c r="C408" s="358" t="s">
        <v>1378</v>
      </c>
      <c r="D408" s="359">
        <v>24025.0</v>
      </c>
      <c r="E408" s="358">
        <v>3.62036627E8</v>
      </c>
      <c r="F408" s="358" t="s">
        <v>4138</v>
      </c>
      <c r="G408" s="360" t="s">
        <v>1058</v>
      </c>
      <c r="H408" s="358" t="s">
        <v>4139</v>
      </c>
      <c r="I408" s="362" t="s">
        <v>4140</v>
      </c>
      <c r="J408" s="358">
        <v>8.1578539E7</v>
      </c>
      <c r="K408" s="358" t="s">
        <v>4141</v>
      </c>
      <c r="L408" s="358" t="s">
        <v>4142</v>
      </c>
      <c r="M408" s="358" t="s">
        <v>1063</v>
      </c>
      <c r="N408" s="358" t="s">
        <v>4143</v>
      </c>
      <c r="O408" s="358" t="s">
        <v>4144</v>
      </c>
    </row>
    <row r="409">
      <c r="A409" s="358" t="s">
        <v>4145</v>
      </c>
      <c r="B409" s="358">
        <v>933.0</v>
      </c>
      <c r="C409" s="358" t="s">
        <v>4146</v>
      </c>
      <c r="D409" s="359">
        <v>33231.0</v>
      </c>
      <c r="E409" s="358">
        <v>4.11328979E8</v>
      </c>
      <c r="F409" s="358" t="s">
        <v>4147</v>
      </c>
      <c r="G409" s="360" t="s">
        <v>1058</v>
      </c>
      <c r="H409" s="358" t="s">
        <v>4148</v>
      </c>
      <c r="I409" s="362" t="s">
        <v>4149</v>
      </c>
      <c r="J409" s="358">
        <v>7.7376226E7</v>
      </c>
      <c r="K409" s="358" t="s">
        <v>4150</v>
      </c>
      <c r="L409" s="358" t="s">
        <v>4151</v>
      </c>
      <c r="M409" s="358" t="s">
        <v>1063</v>
      </c>
      <c r="N409" s="358" t="s">
        <v>4152</v>
      </c>
      <c r="O409" s="358" t="s">
        <v>4153</v>
      </c>
    </row>
    <row r="410">
      <c r="A410" s="358" t="s">
        <v>4154</v>
      </c>
      <c r="B410" s="358">
        <v>449.0</v>
      </c>
      <c r="C410" s="358" t="s">
        <v>4057</v>
      </c>
      <c r="D410" s="359">
        <v>30626.0</v>
      </c>
      <c r="E410" s="358">
        <v>6.27643589E8</v>
      </c>
      <c r="F410" s="358" t="s">
        <v>4155</v>
      </c>
      <c r="G410" s="360" t="s">
        <v>1058</v>
      </c>
      <c r="H410" s="358" t="s">
        <v>4156</v>
      </c>
      <c r="I410" s="362" t="s">
        <v>4157</v>
      </c>
      <c r="J410" s="358">
        <v>6.9751013E7</v>
      </c>
      <c r="K410" s="358" t="s">
        <v>4158</v>
      </c>
      <c r="L410" s="358" t="s">
        <v>4159</v>
      </c>
      <c r="M410" s="358" t="s">
        <v>1063</v>
      </c>
      <c r="N410" s="358" t="s">
        <v>4160</v>
      </c>
      <c r="O410" s="358" t="s">
        <v>4161</v>
      </c>
    </row>
    <row r="411">
      <c r="A411" s="358" t="s">
        <v>4162</v>
      </c>
      <c r="B411" s="358">
        <v>747.0</v>
      </c>
      <c r="C411" s="358" t="s">
        <v>4057</v>
      </c>
      <c r="D411" s="359">
        <v>30532.0</v>
      </c>
      <c r="E411" s="358">
        <v>4.43383121E8</v>
      </c>
      <c r="F411" s="358" t="s">
        <v>2767</v>
      </c>
      <c r="G411" s="360" t="s">
        <v>1058</v>
      </c>
      <c r="H411" s="358" t="s">
        <v>2768</v>
      </c>
      <c r="I411" s="362" t="s">
        <v>4163</v>
      </c>
      <c r="J411" s="358">
        <v>7.4271539E7</v>
      </c>
      <c r="K411" s="358" t="s">
        <v>4164</v>
      </c>
      <c r="L411" s="358" t="s">
        <v>4165</v>
      </c>
      <c r="M411" s="358" t="s">
        <v>1063</v>
      </c>
      <c r="N411" s="358" t="s">
        <v>4166</v>
      </c>
      <c r="O411" s="358" t="s">
        <v>4167</v>
      </c>
    </row>
    <row r="412">
      <c r="A412" s="358" t="s">
        <v>4168</v>
      </c>
      <c r="B412" s="358">
        <v>1157.0</v>
      </c>
      <c r="C412" s="358" t="s">
        <v>4057</v>
      </c>
      <c r="D412" s="359">
        <v>28729.0</v>
      </c>
      <c r="E412" s="358">
        <v>2.65409007E8</v>
      </c>
      <c r="F412" s="358" t="s">
        <v>4169</v>
      </c>
      <c r="G412" s="360" t="s">
        <v>1058</v>
      </c>
      <c r="H412" s="358" t="s">
        <v>4170</v>
      </c>
      <c r="I412" s="362" t="s">
        <v>4171</v>
      </c>
      <c r="J412" s="358">
        <v>2.7302542E7</v>
      </c>
      <c r="K412" s="358" t="s">
        <v>4172</v>
      </c>
      <c r="L412" s="358" t="s">
        <v>4173</v>
      </c>
      <c r="M412" s="358" t="s">
        <v>1063</v>
      </c>
      <c r="N412" s="358" t="s">
        <v>4174</v>
      </c>
      <c r="O412" s="358" t="s">
        <v>4175</v>
      </c>
    </row>
    <row r="413">
      <c r="A413" s="358" t="s">
        <v>4176</v>
      </c>
      <c r="B413" s="358">
        <v>1279.0</v>
      </c>
      <c r="C413" s="358" t="s">
        <v>2284</v>
      </c>
      <c r="D413" s="359">
        <v>28144.0</v>
      </c>
      <c r="E413" s="358">
        <v>3.85730895E8</v>
      </c>
      <c r="F413" s="358" t="s">
        <v>4177</v>
      </c>
      <c r="G413" s="360" t="s">
        <v>1058</v>
      </c>
      <c r="H413" s="358" t="s">
        <v>4178</v>
      </c>
      <c r="I413" s="362" t="s">
        <v>4179</v>
      </c>
      <c r="J413" s="358">
        <v>8.578387E7</v>
      </c>
      <c r="K413" s="358" t="s">
        <v>4180</v>
      </c>
      <c r="L413" s="358" t="s">
        <v>4181</v>
      </c>
      <c r="M413" s="358" t="s">
        <v>1063</v>
      </c>
      <c r="N413" s="358" t="s">
        <v>4182</v>
      </c>
      <c r="O413" s="358" t="s">
        <v>1417</v>
      </c>
    </row>
    <row r="414">
      <c r="A414" s="358" t="s">
        <v>4183</v>
      </c>
      <c r="B414" s="358">
        <v>168.0</v>
      </c>
      <c r="C414" s="358" t="s">
        <v>1090</v>
      </c>
      <c r="D414" s="359">
        <v>25378.0</v>
      </c>
      <c r="E414" s="358">
        <v>4.41850613E8</v>
      </c>
      <c r="F414" s="358" t="s">
        <v>4184</v>
      </c>
      <c r="G414" s="360" t="s">
        <v>1058</v>
      </c>
      <c r="H414" s="358" t="s">
        <v>4185</v>
      </c>
      <c r="I414" s="362" t="s">
        <v>4186</v>
      </c>
      <c r="J414" s="358">
        <v>6.1806668E7</v>
      </c>
      <c r="K414" s="358" t="s">
        <v>4187</v>
      </c>
      <c r="L414" s="358" t="s">
        <v>4188</v>
      </c>
      <c r="M414" s="358" t="s">
        <v>1063</v>
      </c>
      <c r="N414" s="358" t="s">
        <v>4189</v>
      </c>
      <c r="O414" s="358" t="s">
        <v>4190</v>
      </c>
    </row>
    <row r="415">
      <c r="A415" s="358" t="s">
        <v>4191</v>
      </c>
      <c r="B415" s="358">
        <v>58.0</v>
      </c>
      <c r="C415" s="358" t="s">
        <v>4192</v>
      </c>
      <c r="D415" s="359">
        <v>32548.0</v>
      </c>
      <c r="E415" s="358">
        <v>4.90277561E8</v>
      </c>
      <c r="F415" s="358" t="s">
        <v>4193</v>
      </c>
      <c r="G415" s="358" t="s">
        <v>2168</v>
      </c>
      <c r="H415" s="358" t="s">
        <v>4194</v>
      </c>
      <c r="I415" s="362" t="s">
        <v>4195</v>
      </c>
      <c r="J415" s="358">
        <v>6.626465E7</v>
      </c>
      <c r="K415" s="358" t="s">
        <v>4196</v>
      </c>
      <c r="L415" s="358" t="s">
        <v>4197</v>
      </c>
      <c r="M415" s="358" t="s">
        <v>1063</v>
      </c>
      <c r="N415" s="358" t="s">
        <v>4198</v>
      </c>
      <c r="O415" s="358" t="s">
        <v>4199</v>
      </c>
    </row>
    <row r="416">
      <c r="A416" s="358" t="s">
        <v>4200</v>
      </c>
      <c r="B416" s="358">
        <v>445.0</v>
      </c>
      <c r="C416" s="358" t="s">
        <v>2227</v>
      </c>
      <c r="D416" s="359">
        <v>30765.0</v>
      </c>
      <c r="E416" s="358">
        <v>5.86245078E8</v>
      </c>
      <c r="F416" s="358" t="s">
        <v>4201</v>
      </c>
      <c r="G416" s="358" t="s">
        <v>3635</v>
      </c>
      <c r="H416" s="358" t="s">
        <v>4202</v>
      </c>
      <c r="I416" s="362" t="s">
        <v>4203</v>
      </c>
      <c r="J416" s="358">
        <v>6.97229E7</v>
      </c>
      <c r="K416" s="358" t="s">
        <v>4204</v>
      </c>
      <c r="L416" s="358" t="s">
        <v>4205</v>
      </c>
      <c r="M416" s="358" t="s">
        <v>1063</v>
      </c>
      <c r="N416" s="358" t="s">
        <v>4206</v>
      </c>
      <c r="O416" s="358" t="s">
        <v>1579</v>
      </c>
    </row>
    <row r="417">
      <c r="A417" s="358" t="s">
        <v>4207</v>
      </c>
      <c r="B417" s="358">
        <v>1323.0</v>
      </c>
      <c r="C417" s="358" t="s">
        <v>4208</v>
      </c>
      <c r="D417" s="359">
        <v>29051.0</v>
      </c>
      <c r="E417" s="358">
        <v>4.51722449E8</v>
      </c>
      <c r="F417" s="358" t="s">
        <v>4209</v>
      </c>
      <c r="G417" s="358" t="s">
        <v>4210</v>
      </c>
      <c r="H417" s="358" t="s">
        <v>4211</v>
      </c>
      <c r="I417" s="362" t="s">
        <v>4212</v>
      </c>
      <c r="J417" s="358">
        <v>8.6174738E7</v>
      </c>
      <c r="K417" s="358" t="s">
        <v>4213</v>
      </c>
      <c r="L417" s="358" t="s">
        <v>4214</v>
      </c>
      <c r="M417" s="358" t="s">
        <v>1063</v>
      </c>
      <c r="N417" s="358" t="s">
        <v>4215</v>
      </c>
      <c r="O417" s="358" t="s">
        <v>4216</v>
      </c>
    </row>
    <row r="418">
      <c r="A418" s="358" t="s">
        <v>4217</v>
      </c>
      <c r="B418" s="358">
        <v>1534.0</v>
      </c>
      <c r="C418" s="358" t="s">
        <v>3924</v>
      </c>
      <c r="D418" s="359">
        <v>32885.0</v>
      </c>
      <c r="E418" s="358">
        <v>6.11246235E8</v>
      </c>
      <c r="F418" s="358" t="s">
        <v>4218</v>
      </c>
      <c r="G418" s="360" t="s">
        <v>1058</v>
      </c>
      <c r="H418" s="358" t="s">
        <v>4219</v>
      </c>
      <c r="I418" s="362" t="s">
        <v>4220</v>
      </c>
      <c r="J418" s="358">
        <v>9.0236939E7</v>
      </c>
      <c r="K418" s="358" t="s">
        <v>4221</v>
      </c>
      <c r="L418" s="358" t="s">
        <v>4222</v>
      </c>
      <c r="M418" s="358" t="s">
        <v>1063</v>
      </c>
      <c r="N418" s="358" t="s">
        <v>4223</v>
      </c>
      <c r="O418" s="358" t="s">
        <v>4224</v>
      </c>
    </row>
    <row r="419">
      <c r="A419" s="358" t="s">
        <v>4225</v>
      </c>
      <c r="B419" s="358">
        <v>1382.0</v>
      </c>
      <c r="C419" s="358" t="s">
        <v>2524</v>
      </c>
      <c r="D419" s="359">
        <v>34130.0</v>
      </c>
      <c r="E419" s="358">
        <v>4.83434024E8</v>
      </c>
      <c r="F419" s="358" t="s">
        <v>4226</v>
      </c>
      <c r="G419" s="360" t="s">
        <v>1058</v>
      </c>
      <c r="H419" s="358" t="s">
        <v>4227</v>
      </c>
      <c r="I419" s="362" t="s">
        <v>4228</v>
      </c>
      <c r="J419" s="358">
        <v>7.6974251E7</v>
      </c>
      <c r="K419" s="358" t="s">
        <v>4229</v>
      </c>
      <c r="L419" s="358" t="s">
        <v>4230</v>
      </c>
      <c r="M419" s="358" t="s">
        <v>1151</v>
      </c>
      <c r="N419" s="358" t="s">
        <v>4231</v>
      </c>
      <c r="O419" s="358" t="s">
        <v>4232</v>
      </c>
    </row>
    <row r="420">
      <c r="A420" s="358" t="s">
        <v>4233</v>
      </c>
      <c r="B420" s="358">
        <v>1597.0</v>
      </c>
      <c r="C420" s="358" t="s">
        <v>2022</v>
      </c>
      <c r="D420" s="359">
        <v>33354.0</v>
      </c>
      <c r="E420" s="358">
        <v>4.30711839E8</v>
      </c>
      <c r="F420" s="358" t="s">
        <v>4234</v>
      </c>
      <c r="G420" s="360" t="s">
        <v>1058</v>
      </c>
      <c r="H420" s="358" t="s">
        <v>4235</v>
      </c>
      <c r="I420" s="362" t="s">
        <v>4236</v>
      </c>
      <c r="J420" s="358">
        <v>9.3187599E7</v>
      </c>
      <c r="K420" s="358" t="s">
        <v>4237</v>
      </c>
      <c r="L420" s="358" t="s">
        <v>4238</v>
      </c>
      <c r="M420" s="358" t="s">
        <v>1063</v>
      </c>
      <c r="N420" s="358" t="s">
        <v>4239</v>
      </c>
      <c r="O420" s="358" t="s">
        <v>4240</v>
      </c>
    </row>
    <row r="421">
      <c r="A421" s="358" t="s">
        <v>4241</v>
      </c>
      <c r="B421" s="358">
        <v>1656.0</v>
      </c>
      <c r="C421" s="358" t="s">
        <v>1349</v>
      </c>
      <c r="D421" s="359">
        <v>28883.0</v>
      </c>
      <c r="E421" s="358">
        <v>3.25510751E8</v>
      </c>
      <c r="F421" s="358" t="s">
        <v>4242</v>
      </c>
      <c r="G421" s="360" t="s">
        <v>1058</v>
      </c>
      <c r="H421" s="358" t="s">
        <v>4243</v>
      </c>
      <c r="I421" s="362" t="s">
        <v>4244</v>
      </c>
      <c r="J421" s="358">
        <v>9.4878897E7</v>
      </c>
      <c r="K421" s="358" t="s">
        <v>4245</v>
      </c>
      <c r="L421" s="358" t="s">
        <v>4246</v>
      </c>
      <c r="M421" s="358" t="s">
        <v>1063</v>
      </c>
      <c r="N421" s="358" t="s">
        <v>4247</v>
      </c>
      <c r="O421" s="358" t="s">
        <v>4248</v>
      </c>
    </row>
    <row r="422">
      <c r="A422" s="358" t="s">
        <v>4249</v>
      </c>
      <c r="B422" s="358">
        <v>1292.0</v>
      </c>
      <c r="C422" s="358" t="s">
        <v>4250</v>
      </c>
      <c r="D422" s="359">
        <v>33347.0</v>
      </c>
      <c r="E422" s="358">
        <v>5.85495671E8</v>
      </c>
      <c r="F422" s="358" t="s">
        <v>3947</v>
      </c>
      <c r="G422" s="358" t="s">
        <v>3948</v>
      </c>
      <c r="H422" s="358" t="s">
        <v>3949</v>
      </c>
      <c r="I422" s="362" t="s">
        <v>4251</v>
      </c>
      <c r="J422" s="358">
        <v>8.3610227E7</v>
      </c>
      <c r="K422" s="358" t="s">
        <v>4252</v>
      </c>
      <c r="L422" s="358" t="s">
        <v>4253</v>
      </c>
      <c r="M422" s="358" t="s">
        <v>1151</v>
      </c>
      <c r="N422" s="358" t="s">
        <v>4254</v>
      </c>
      <c r="O422" s="358" t="s">
        <v>1440</v>
      </c>
    </row>
    <row r="423">
      <c r="A423" s="358" t="s">
        <v>4255</v>
      </c>
      <c r="B423" s="358">
        <v>1658.0</v>
      </c>
      <c r="C423" s="358" t="s">
        <v>4256</v>
      </c>
      <c r="D423" s="359">
        <v>29322.0</v>
      </c>
      <c r="E423" s="358">
        <v>3.22479411E8</v>
      </c>
      <c r="F423" s="358" t="s">
        <v>2023</v>
      </c>
      <c r="G423" s="360" t="s">
        <v>1058</v>
      </c>
      <c r="H423" s="358" t="s">
        <v>2024</v>
      </c>
      <c r="I423" s="362" t="s">
        <v>4257</v>
      </c>
      <c r="J423" s="358">
        <v>9.4937028E7</v>
      </c>
      <c r="K423" s="358" t="s">
        <v>4258</v>
      </c>
      <c r="L423" s="358" t="s">
        <v>4259</v>
      </c>
      <c r="M423" s="358" t="s">
        <v>1063</v>
      </c>
      <c r="N423" s="358" t="s">
        <v>4260</v>
      </c>
      <c r="O423" s="358" t="s">
        <v>2568</v>
      </c>
    </row>
    <row r="424">
      <c r="A424" s="358" t="s">
        <v>4261</v>
      </c>
      <c r="B424" s="358">
        <v>949.0</v>
      </c>
      <c r="C424" s="358" t="s">
        <v>4262</v>
      </c>
      <c r="D424" s="359">
        <v>31180.0</v>
      </c>
      <c r="E424" s="358">
        <v>4.60676957E8</v>
      </c>
      <c r="F424" s="358" t="s">
        <v>4263</v>
      </c>
      <c r="G424" s="360" t="s">
        <v>1058</v>
      </c>
      <c r="H424" s="358" t="s">
        <v>4264</v>
      </c>
      <c r="I424" s="362" t="s">
        <v>4265</v>
      </c>
      <c r="J424" s="358">
        <v>7.7619528E7</v>
      </c>
      <c r="K424" s="358" t="s">
        <v>4266</v>
      </c>
      <c r="L424" s="358" t="s">
        <v>4267</v>
      </c>
      <c r="M424" s="358" t="s">
        <v>1063</v>
      </c>
      <c r="N424" s="358" t="s">
        <v>4268</v>
      </c>
      <c r="O424" s="358" t="s">
        <v>4269</v>
      </c>
    </row>
    <row r="425">
      <c r="A425" s="358" t="s">
        <v>4270</v>
      </c>
      <c r="B425" s="358">
        <v>1159.0</v>
      </c>
      <c r="C425" s="358" t="s">
        <v>3057</v>
      </c>
      <c r="D425" s="359">
        <v>26659.0</v>
      </c>
      <c r="E425" s="358">
        <v>2.64203951E8</v>
      </c>
      <c r="F425" s="358" t="s">
        <v>4271</v>
      </c>
      <c r="G425" s="360" t="s">
        <v>1058</v>
      </c>
      <c r="H425" s="358" t="s">
        <v>2598</v>
      </c>
      <c r="I425" s="362" t="s">
        <v>4272</v>
      </c>
      <c r="J425" s="358">
        <v>8.2501475E7</v>
      </c>
      <c r="K425" s="358" t="s">
        <v>4273</v>
      </c>
      <c r="L425" s="358" t="s">
        <v>4274</v>
      </c>
      <c r="M425" s="358" t="s">
        <v>1063</v>
      </c>
      <c r="N425" s="358" t="s">
        <v>4275</v>
      </c>
      <c r="O425" s="358" t="s">
        <v>4276</v>
      </c>
    </row>
    <row r="426">
      <c r="A426" s="358" t="s">
        <v>4277</v>
      </c>
      <c r="B426" s="358">
        <v>1508.0</v>
      </c>
      <c r="C426" s="358" t="s">
        <v>4057</v>
      </c>
      <c r="D426" s="359">
        <v>35329.0</v>
      </c>
      <c r="E426" s="358">
        <v>3.00832643E8</v>
      </c>
      <c r="F426" s="358" t="s">
        <v>4278</v>
      </c>
      <c r="G426" s="360" t="s">
        <v>1058</v>
      </c>
      <c r="H426" s="358" t="s">
        <v>4279</v>
      </c>
      <c r="I426" s="362" t="s">
        <v>4280</v>
      </c>
      <c r="J426" s="358">
        <v>9.03732E7</v>
      </c>
      <c r="K426" s="358" t="s">
        <v>4281</v>
      </c>
      <c r="L426" s="358" t="s">
        <v>4282</v>
      </c>
      <c r="M426" s="358" t="s">
        <v>1063</v>
      </c>
      <c r="N426" s="358" t="s">
        <v>4283</v>
      </c>
      <c r="O426" s="358" t="s">
        <v>4284</v>
      </c>
    </row>
    <row r="427">
      <c r="A427" s="358" t="s">
        <v>4285</v>
      </c>
      <c r="B427" s="358">
        <v>1316.0</v>
      </c>
      <c r="C427" s="358" t="s">
        <v>4286</v>
      </c>
      <c r="D427" s="359">
        <v>25106.0</v>
      </c>
      <c r="E427" s="358">
        <v>4.03625221E8</v>
      </c>
      <c r="F427" s="358" t="s">
        <v>4287</v>
      </c>
      <c r="G427" s="360" t="s">
        <v>1058</v>
      </c>
      <c r="H427" s="358" t="s">
        <v>4288</v>
      </c>
      <c r="I427" s="362" t="s">
        <v>4289</v>
      </c>
      <c r="J427" s="358">
        <v>6.7473334E7</v>
      </c>
      <c r="K427" s="358" t="s">
        <v>4290</v>
      </c>
      <c r="L427" s="358" t="s">
        <v>4291</v>
      </c>
      <c r="M427" s="358" t="s">
        <v>1063</v>
      </c>
      <c r="N427" s="358" t="s">
        <v>4292</v>
      </c>
      <c r="O427" s="358" t="s">
        <v>4293</v>
      </c>
    </row>
    <row r="428">
      <c r="A428" s="358" t="s">
        <v>4294</v>
      </c>
      <c r="B428" s="358">
        <v>42.0</v>
      </c>
      <c r="C428" s="358" t="s">
        <v>3057</v>
      </c>
      <c r="D428" s="359">
        <v>29222.0</v>
      </c>
      <c r="E428" s="358">
        <v>4.57759975E8</v>
      </c>
      <c r="F428" s="358" t="s">
        <v>4295</v>
      </c>
      <c r="G428" s="358" t="s">
        <v>2724</v>
      </c>
      <c r="H428" s="358" t="s">
        <v>4296</v>
      </c>
      <c r="I428" s="362" t="s">
        <v>4297</v>
      </c>
      <c r="J428" s="358">
        <v>5.7704422E7</v>
      </c>
      <c r="K428" s="358" t="s">
        <v>4298</v>
      </c>
      <c r="L428" s="358" t="s">
        <v>4299</v>
      </c>
      <c r="M428" s="358" t="s">
        <v>1063</v>
      </c>
      <c r="N428" s="358" t="s">
        <v>4300</v>
      </c>
      <c r="O428" s="358" t="s">
        <v>4301</v>
      </c>
    </row>
    <row r="429">
      <c r="A429" s="358" t="s">
        <v>4302</v>
      </c>
      <c r="B429" s="358">
        <v>885.0</v>
      </c>
      <c r="C429" s="358" t="s">
        <v>4303</v>
      </c>
      <c r="D429" s="359">
        <v>33167.0</v>
      </c>
      <c r="E429" s="358">
        <v>6.68207358E8</v>
      </c>
      <c r="F429" s="358" t="s">
        <v>4304</v>
      </c>
      <c r="G429" s="360" t="s">
        <v>1058</v>
      </c>
      <c r="H429" s="358" t="s">
        <v>4305</v>
      </c>
      <c r="I429" s="362" t="s">
        <v>4306</v>
      </c>
      <c r="J429" s="358">
        <v>7.701112E7</v>
      </c>
      <c r="K429" s="358" t="s">
        <v>4307</v>
      </c>
      <c r="L429" s="358" t="s">
        <v>4308</v>
      </c>
      <c r="M429" s="358" t="s">
        <v>1063</v>
      </c>
      <c r="N429" s="358" t="s">
        <v>4309</v>
      </c>
      <c r="O429" s="358" t="s">
        <v>4310</v>
      </c>
    </row>
    <row r="430">
      <c r="A430" s="358" t="s">
        <v>4311</v>
      </c>
      <c r="B430" s="358">
        <v>1732.0</v>
      </c>
      <c r="C430" s="358" t="s">
        <v>3071</v>
      </c>
      <c r="D430" s="359">
        <v>33277.0</v>
      </c>
      <c r="E430" s="358">
        <v>3.39231269E8</v>
      </c>
      <c r="F430" s="358" t="s">
        <v>4312</v>
      </c>
      <c r="G430" s="358" t="s">
        <v>1491</v>
      </c>
      <c r="H430" s="358" t="s">
        <v>4313</v>
      </c>
      <c r="I430" s="362" t="s">
        <v>4314</v>
      </c>
      <c r="J430" s="358">
        <v>9.8399659E7</v>
      </c>
      <c r="K430" s="358" t="s">
        <v>1061</v>
      </c>
      <c r="L430" s="358" t="s">
        <v>4315</v>
      </c>
      <c r="M430" s="358" t="s">
        <v>1063</v>
      </c>
      <c r="N430" s="358" t="s">
        <v>4316</v>
      </c>
      <c r="O430" s="358" t="s">
        <v>4317</v>
      </c>
    </row>
    <row r="431">
      <c r="A431" s="358" t="s">
        <v>4318</v>
      </c>
      <c r="B431" s="358">
        <v>1733.0</v>
      </c>
      <c r="C431" s="358" t="s">
        <v>3071</v>
      </c>
      <c r="D431" s="359">
        <v>33277.0</v>
      </c>
      <c r="E431" s="358">
        <v>3.39231269E8</v>
      </c>
      <c r="F431" s="358" t="s">
        <v>4312</v>
      </c>
      <c r="G431" s="358" t="s">
        <v>1491</v>
      </c>
      <c r="H431" s="358" t="s">
        <v>4313</v>
      </c>
      <c r="I431" s="362" t="s">
        <v>4319</v>
      </c>
      <c r="J431" s="358">
        <v>9.8401181E7</v>
      </c>
      <c r="K431" s="358" t="s">
        <v>1061</v>
      </c>
      <c r="L431" s="358" t="s">
        <v>4320</v>
      </c>
      <c r="M431" s="358" t="s">
        <v>1063</v>
      </c>
      <c r="N431" s="358" t="s">
        <v>4321</v>
      </c>
      <c r="O431" s="358" t="s">
        <v>4317</v>
      </c>
    </row>
    <row r="432">
      <c r="A432" s="358" t="s">
        <v>4322</v>
      </c>
      <c r="B432" s="358">
        <v>1441.0</v>
      </c>
      <c r="C432" s="358" t="s">
        <v>3071</v>
      </c>
      <c r="D432" s="359">
        <v>33277.0</v>
      </c>
      <c r="E432" s="358">
        <v>3.39231269E8</v>
      </c>
      <c r="F432" s="358" t="s">
        <v>4312</v>
      </c>
      <c r="G432" s="358" t="s">
        <v>1491</v>
      </c>
      <c r="H432" s="358" t="s">
        <v>4313</v>
      </c>
      <c r="I432" s="361" t="s">
        <v>4323</v>
      </c>
      <c r="J432" s="358">
        <v>8.7166801E7</v>
      </c>
      <c r="K432" s="358" t="s">
        <v>4324</v>
      </c>
      <c r="L432" s="358" t="s">
        <v>4325</v>
      </c>
      <c r="M432" s="358" t="s">
        <v>1063</v>
      </c>
      <c r="N432" s="358" t="s">
        <v>4326</v>
      </c>
      <c r="O432" s="358" t="s">
        <v>4317</v>
      </c>
    </row>
    <row r="433">
      <c r="A433" s="358" t="s">
        <v>4327</v>
      </c>
      <c r="B433" s="358">
        <v>1689.0</v>
      </c>
      <c r="C433" s="358" t="s">
        <v>1822</v>
      </c>
      <c r="D433" s="359">
        <v>33275.0</v>
      </c>
      <c r="E433" s="358">
        <v>5.37334038E8</v>
      </c>
      <c r="F433" s="358" t="s">
        <v>4328</v>
      </c>
      <c r="G433" s="358" t="s">
        <v>4329</v>
      </c>
      <c r="H433" s="358" t="s">
        <v>4330</v>
      </c>
      <c r="I433" s="362" t="s">
        <v>4331</v>
      </c>
      <c r="J433" s="358">
        <v>9.6632658E7</v>
      </c>
      <c r="K433" s="358" t="s">
        <v>4332</v>
      </c>
      <c r="M433" s="358" t="s">
        <v>1063</v>
      </c>
      <c r="N433" s="358" t="s">
        <v>4333</v>
      </c>
      <c r="O433" s="358" t="s">
        <v>4334</v>
      </c>
    </row>
    <row r="434">
      <c r="A434" s="358" t="s">
        <v>4335</v>
      </c>
      <c r="B434" s="358">
        <v>378.0</v>
      </c>
      <c r="C434" s="358" t="s">
        <v>2325</v>
      </c>
      <c r="D434" s="359">
        <v>29208.0</v>
      </c>
      <c r="E434" s="358">
        <v>2.64594356E8</v>
      </c>
      <c r="F434" s="358" t="s">
        <v>2326</v>
      </c>
      <c r="G434" s="358" t="s">
        <v>2327</v>
      </c>
      <c r="H434" s="358" t="s">
        <v>2328</v>
      </c>
      <c r="I434" s="362" t="s">
        <v>4336</v>
      </c>
      <c r="J434" s="358">
        <v>6.7963617E7</v>
      </c>
      <c r="K434" s="358" t="s">
        <v>4337</v>
      </c>
      <c r="L434" s="358" t="s">
        <v>4338</v>
      </c>
      <c r="M434" s="358" t="s">
        <v>1063</v>
      </c>
      <c r="N434" s="358" t="s">
        <v>4339</v>
      </c>
      <c r="O434" s="358" t="s">
        <v>2330</v>
      </c>
    </row>
    <row r="435">
      <c r="A435" s="358" t="s">
        <v>4340</v>
      </c>
      <c r="B435" s="358">
        <v>644.0</v>
      </c>
      <c r="C435" s="358" t="s">
        <v>2325</v>
      </c>
      <c r="D435" s="359">
        <v>29208.0</v>
      </c>
      <c r="E435" s="358">
        <v>2.64594356E8</v>
      </c>
      <c r="F435" s="358" t="s">
        <v>4341</v>
      </c>
      <c r="G435" s="358" t="s">
        <v>2327</v>
      </c>
      <c r="H435" s="358" t="s">
        <v>4342</v>
      </c>
      <c r="I435" s="362" t="s">
        <v>4336</v>
      </c>
      <c r="J435" s="358">
        <v>7.2764163E7</v>
      </c>
      <c r="K435" s="358" t="s">
        <v>4343</v>
      </c>
      <c r="L435" s="358" t="s">
        <v>4344</v>
      </c>
      <c r="M435" s="358" t="s">
        <v>1063</v>
      </c>
      <c r="N435" s="358" t="s">
        <v>4345</v>
      </c>
      <c r="O435" s="358" t="s">
        <v>2330</v>
      </c>
    </row>
    <row r="436">
      <c r="A436" s="358" t="s">
        <v>4346</v>
      </c>
      <c r="B436" s="358">
        <v>377.0</v>
      </c>
      <c r="C436" s="358" t="s">
        <v>2325</v>
      </c>
      <c r="D436" s="359">
        <v>29208.0</v>
      </c>
      <c r="E436" s="358">
        <v>2.64594356E8</v>
      </c>
      <c r="F436" s="358" t="s">
        <v>2326</v>
      </c>
      <c r="G436" s="358" t="s">
        <v>2327</v>
      </c>
      <c r="H436" s="358" t="s">
        <v>2328</v>
      </c>
      <c r="I436" s="362" t="s">
        <v>4347</v>
      </c>
      <c r="J436" s="358">
        <v>6.7965202E7</v>
      </c>
      <c r="K436" s="358" t="s">
        <v>4348</v>
      </c>
      <c r="L436" s="358" t="s">
        <v>4349</v>
      </c>
      <c r="M436" s="358" t="s">
        <v>1063</v>
      </c>
      <c r="N436" s="358" t="s">
        <v>4350</v>
      </c>
      <c r="O436" s="358" t="s">
        <v>2330</v>
      </c>
    </row>
    <row r="437">
      <c r="A437" s="358" t="s">
        <v>4351</v>
      </c>
      <c r="B437" s="358">
        <v>983.0</v>
      </c>
      <c r="C437" s="358" t="s">
        <v>2325</v>
      </c>
      <c r="D437" s="359">
        <v>31864.0</v>
      </c>
      <c r="E437" s="358">
        <v>2.50920761E8</v>
      </c>
      <c r="F437" s="358" t="s">
        <v>4352</v>
      </c>
      <c r="G437" s="360" t="s">
        <v>1058</v>
      </c>
      <c r="H437" s="358" t="s">
        <v>4353</v>
      </c>
      <c r="I437" s="363"/>
      <c r="J437" s="358">
        <v>7.8211123E7</v>
      </c>
      <c r="K437" s="358" t="s">
        <v>4354</v>
      </c>
      <c r="L437" s="358" t="s">
        <v>4355</v>
      </c>
      <c r="M437" s="358" t="s">
        <v>1063</v>
      </c>
      <c r="N437" s="154"/>
      <c r="O437" s="358" t="s">
        <v>2312</v>
      </c>
    </row>
    <row r="438">
      <c r="A438" s="358" t="s">
        <v>4356</v>
      </c>
      <c r="B438" s="358">
        <v>655.0</v>
      </c>
      <c r="C438" s="358" t="s">
        <v>2325</v>
      </c>
      <c r="D438" s="359">
        <v>31864.0</v>
      </c>
      <c r="E438" s="358">
        <v>2.50920761E8</v>
      </c>
      <c r="F438" s="358" t="s">
        <v>4352</v>
      </c>
      <c r="G438" s="358" t="s">
        <v>2168</v>
      </c>
      <c r="H438" s="358" t="s">
        <v>4353</v>
      </c>
      <c r="I438" s="362" t="s">
        <v>4357</v>
      </c>
      <c r="J438" s="358">
        <v>7.2852402E7</v>
      </c>
      <c r="K438" s="358" t="s">
        <v>4358</v>
      </c>
      <c r="L438" s="358" t="s">
        <v>4359</v>
      </c>
      <c r="M438" s="358" t="s">
        <v>1063</v>
      </c>
      <c r="N438" s="358" t="s">
        <v>4360</v>
      </c>
      <c r="O438" s="358" t="s">
        <v>2312</v>
      </c>
    </row>
    <row r="439">
      <c r="A439" s="358" t="s">
        <v>4361</v>
      </c>
      <c r="B439" s="358">
        <v>1272.0</v>
      </c>
      <c r="C439" s="358" t="s">
        <v>4146</v>
      </c>
      <c r="D439" s="359">
        <v>25416.0</v>
      </c>
      <c r="E439" s="358">
        <v>5.03462342E8</v>
      </c>
      <c r="F439" s="358" t="s">
        <v>1955</v>
      </c>
      <c r="G439" s="358" t="s">
        <v>1265</v>
      </c>
      <c r="H439" s="358" t="s">
        <v>1956</v>
      </c>
      <c r="I439" s="362" t="s">
        <v>4362</v>
      </c>
      <c r="J439" s="358">
        <v>8.4620218E7</v>
      </c>
      <c r="K439" s="358" t="s">
        <v>4363</v>
      </c>
      <c r="L439" s="358" t="s">
        <v>4364</v>
      </c>
      <c r="M439" s="358" t="s">
        <v>1063</v>
      </c>
      <c r="N439" s="358" t="s">
        <v>4365</v>
      </c>
      <c r="O439" s="358" t="s">
        <v>1960</v>
      </c>
    </row>
    <row r="440">
      <c r="A440" s="358" t="s">
        <v>4366</v>
      </c>
      <c r="B440" s="358">
        <v>1665.0</v>
      </c>
      <c r="C440" s="358" t="s">
        <v>1199</v>
      </c>
      <c r="D440" s="359">
        <v>37594.0</v>
      </c>
      <c r="E440" s="358">
        <v>4.03587864E8</v>
      </c>
      <c r="F440" s="358" t="s">
        <v>4367</v>
      </c>
      <c r="G440" s="358" t="s">
        <v>1265</v>
      </c>
      <c r="H440" s="358" t="s">
        <v>4368</v>
      </c>
      <c r="I440" s="362" t="s">
        <v>4369</v>
      </c>
      <c r="J440" s="358">
        <v>9.5244743E7</v>
      </c>
      <c r="K440" s="358" t="s">
        <v>4370</v>
      </c>
      <c r="L440" s="358" t="s">
        <v>4371</v>
      </c>
      <c r="M440" s="358" t="s">
        <v>1063</v>
      </c>
      <c r="N440" s="358" t="s">
        <v>4372</v>
      </c>
      <c r="O440" s="358" t="s">
        <v>2862</v>
      </c>
    </row>
    <row r="441">
      <c r="A441" s="358" t="s">
        <v>4373</v>
      </c>
      <c r="B441" s="358">
        <v>1475.0</v>
      </c>
      <c r="C441" s="358" t="s">
        <v>4374</v>
      </c>
      <c r="D441" s="359">
        <v>28859.0</v>
      </c>
      <c r="E441" s="358">
        <v>5.15483394E8</v>
      </c>
      <c r="F441" s="358" t="s">
        <v>4375</v>
      </c>
      <c r="G441" s="358" t="s">
        <v>1574</v>
      </c>
      <c r="H441" s="358" t="s">
        <v>4376</v>
      </c>
      <c r="I441" s="362" t="s">
        <v>4377</v>
      </c>
      <c r="J441" s="358">
        <v>8.945532E7</v>
      </c>
      <c r="K441" s="358" t="s">
        <v>4378</v>
      </c>
      <c r="L441" s="358" t="s">
        <v>4379</v>
      </c>
      <c r="M441" s="358" t="s">
        <v>1063</v>
      </c>
      <c r="N441" s="358" t="s">
        <v>4380</v>
      </c>
      <c r="O441" s="358" t="s">
        <v>4381</v>
      </c>
    </row>
    <row r="442">
      <c r="A442" s="358" t="s">
        <v>4382</v>
      </c>
      <c r="B442" s="358">
        <v>1171.0</v>
      </c>
      <c r="C442" s="358" t="s">
        <v>1378</v>
      </c>
      <c r="D442" s="359">
        <v>35171.0</v>
      </c>
      <c r="E442" s="358">
        <v>6.14596403E8</v>
      </c>
      <c r="F442" s="358" t="s">
        <v>2931</v>
      </c>
      <c r="G442" s="360" t="s">
        <v>1058</v>
      </c>
      <c r="H442" s="358" t="s">
        <v>2932</v>
      </c>
      <c r="I442" s="362" t="s">
        <v>4383</v>
      </c>
      <c r="J442" s="358">
        <v>8.2434697E7</v>
      </c>
      <c r="K442" s="358" t="s">
        <v>4384</v>
      </c>
      <c r="L442" s="358" t="s">
        <v>4385</v>
      </c>
      <c r="M442" s="358" t="s">
        <v>1063</v>
      </c>
      <c r="N442" s="358" t="s">
        <v>4386</v>
      </c>
      <c r="O442" s="358" t="s">
        <v>2937</v>
      </c>
    </row>
    <row r="443">
      <c r="A443" s="358" t="s">
        <v>4387</v>
      </c>
      <c r="B443" s="358">
        <v>1295.0</v>
      </c>
      <c r="C443" s="358" t="s">
        <v>1333</v>
      </c>
      <c r="D443" s="359">
        <v>32433.0</v>
      </c>
      <c r="E443" s="358">
        <v>5.86669929E8</v>
      </c>
      <c r="F443" s="358" t="s">
        <v>4388</v>
      </c>
      <c r="G443" s="360" t="s">
        <v>1058</v>
      </c>
      <c r="H443" s="358" t="s">
        <v>4389</v>
      </c>
      <c r="I443" s="362" t="s">
        <v>4390</v>
      </c>
      <c r="J443" s="358">
        <v>8.5496413E7</v>
      </c>
      <c r="K443" s="358" t="s">
        <v>4391</v>
      </c>
      <c r="L443" s="358" t="s">
        <v>4392</v>
      </c>
      <c r="M443" s="358" t="s">
        <v>1151</v>
      </c>
      <c r="N443" s="358" t="s">
        <v>4393</v>
      </c>
      <c r="O443" s="358" t="s">
        <v>4394</v>
      </c>
    </row>
    <row r="444">
      <c r="A444" s="358" t="s">
        <v>4395</v>
      </c>
      <c r="B444" s="358">
        <v>509.0</v>
      </c>
      <c r="C444" s="358" t="s">
        <v>1970</v>
      </c>
      <c r="D444" s="359">
        <v>30287.0</v>
      </c>
      <c r="E444" s="358">
        <v>3.385308E8</v>
      </c>
      <c r="F444" s="358" t="s">
        <v>4304</v>
      </c>
      <c r="G444" s="358" t="s">
        <v>2168</v>
      </c>
      <c r="H444" s="358" t="s">
        <v>4305</v>
      </c>
      <c r="I444" s="362" t="s">
        <v>4396</v>
      </c>
      <c r="J444" s="358">
        <v>7.0788693E7</v>
      </c>
      <c r="K444" s="358" t="s">
        <v>4397</v>
      </c>
      <c r="L444" s="358" t="s">
        <v>4398</v>
      </c>
      <c r="M444" s="358" t="s">
        <v>1063</v>
      </c>
      <c r="N444" s="358" t="s">
        <v>4399</v>
      </c>
      <c r="O444" s="358" t="s">
        <v>4310</v>
      </c>
    </row>
    <row r="445">
      <c r="A445" s="358" t="s">
        <v>4400</v>
      </c>
      <c r="B445" s="358">
        <v>1481.0</v>
      </c>
      <c r="C445" s="358" t="s">
        <v>2373</v>
      </c>
      <c r="D445" s="359">
        <v>35127.0</v>
      </c>
      <c r="E445" s="358">
        <v>5.39434772E8</v>
      </c>
      <c r="F445" s="358" t="s">
        <v>4401</v>
      </c>
      <c r="G445" s="360" t="s">
        <v>1058</v>
      </c>
      <c r="H445" s="358" t="s">
        <v>1413</v>
      </c>
      <c r="I445" s="362" t="s">
        <v>4402</v>
      </c>
      <c r="J445" s="358">
        <v>8.9790197E7</v>
      </c>
      <c r="K445" s="358" t="s">
        <v>4403</v>
      </c>
      <c r="L445" s="358" t="s">
        <v>4404</v>
      </c>
      <c r="M445" s="358" t="s">
        <v>1151</v>
      </c>
      <c r="N445" s="358" t="s">
        <v>4405</v>
      </c>
      <c r="O445" s="358" t="s">
        <v>4406</v>
      </c>
    </row>
    <row r="446">
      <c r="A446" s="358" t="s">
        <v>4407</v>
      </c>
      <c r="B446" s="358">
        <v>1089.0</v>
      </c>
      <c r="C446" s="358" t="s">
        <v>2341</v>
      </c>
      <c r="D446" s="359">
        <v>31528.0</v>
      </c>
      <c r="E446" s="358">
        <v>5.36383844E8</v>
      </c>
      <c r="F446" s="358" t="s">
        <v>4408</v>
      </c>
      <c r="G446" s="360" t="s">
        <v>1058</v>
      </c>
      <c r="H446" s="358" t="s">
        <v>1612</v>
      </c>
      <c r="I446" s="362" t="s">
        <v>4409</v>
      </c>
      <c r="J446" s="358">
        <v>8.1775504E7</v>
      </c>
      <c r="K446" s="358" t="s">
        <v>4410</v>
      </c>
      <c r="L446" s="358" t="s">
        <v>4411</v>
      </c>
      <c r="M446" s="358" t="s">
        <v>1063</v>
      </c>
      <c r="N446" s="358" t="s">
        <v>4412</v>
      </c>
      <c r="O446" s="358" t="s">
        <v>1065</v>
      </c>
    </row>
    <row r="447">
      <c r="A447" s="358" t="s">
        <v>4413</v>
      </c>
      <c r="B447" s="358">
        <v>646.0</v>
      </c>
      <c r="C447" s="358" t="s">
        <v>3057</v>
      </c>
      <c r="D447" s="359">
        <v>33875.0</v>
      </c>
      <c r="E447" s="358">
        <v>4.3767639E8</v>
      </c>
      <c r="F447" s="358" t="s">
        <v>3440</v>
      </c>
      <c r="G447" s="358" t="s">
        <v>2168</v>
      </c>
      <c r="H447" s="358" t="s">
        <v>3441</v>
      </c>
      <c r="I447" s="362" t="s">
        <v>4414</v>
      </c>
      <c r="J447" s="358">
        <v>7.2876573E7</v>
      </c>
      <c r="K447" s="358" t="s">
        <v>4415</v>
      </c>
      <c r="L447" s="358" t="s">
        <v>4416</v>
      </c>
      <c r="M447" s="358" t="s">
        <v>1063</v>
      </c>
      <c r="N447" s="358" t="s">
        <v>4417</v>
      </c>
      <c r="O447" s="358" t="s">
        <v>1197</v>
      </c>
    </row>
    <row r="448">
      <c r="A448" s="358" t="s">
        <v>4418</v>
      </c>
      <c r="B448" s="358">
        <v>645.0</v>
      </c>
      <c r="C448" s="358" t="s">
        <v>3057</v>
      </c>
      <c r="D448" s="359">
        <v>33875.0</v>
      </c>
      <c r="E448" s="358">
        <v>4.3767639E8</v>
      </c>
      <c r="F448" s="358" t="s">
        <v>3440</v>
      </c>
      <c r="G448" s="358" t="s">
        <v>2168</v>
      </c>
      <c r="H448" s="358" t="s">
        <v>3441</v>
      </c>
      <c r="I448" s="362" t="s">
        <v>4414</v>
      </c>
      <c r="J448" s="358">
        <v>7.2876344E7</v>
      </c>
      <c r="K448" s="358" t="s">
        <v>4419</v>
      </c>
      <c r="L448" s="358" t="s">
        <v>4420</v>
      </c>
      <c r="M448" s="358" t="s">
        <v>1063</v>
      </c>
      <c r="N448" s="358" t="s">
        <v>4421</v>
      </c>
      <c r="O448" s="358" t="s">
        <v>1197</v>
      </c>
    </row>
    <row r="449">
      <c r="A449" s="358" t="s">
        <v>4422</v>
      </c>
      <c r="B449" s="358">
        <v>1415.0</v>
      </c>
      <c r="C449" s="358" t="s">
        <v>3057</v>
      </c>
      <c r="D449" s="359">
        <v>33875.0</v>
      </c>
      <c r="E449" s="358">
        <v>4.3767639E8</v>
      </c>
      <c r="F449" s="358" t="s">
        <v>3440</v>
      </c>
      <c r="G449" s="360" t="s">
        <v>1058</v>
      </c>
      <c r="H449" s="358" t="s">
        <v>4423</v>
      </c>
      <c r="I449" s="361" t="s">
        <v>4424</v>
      </c>
      <c r="J449" s="358">
        <v>8.7736667E7</v>
      </c>
      <c r="K449" s="358" t="s">
        <v>1061</v>
      </c>
      <c r="L449" s="358" t="s">
        <v>4425</v>
      </c>
      <c r="M449" s="358" t="s">
        <v>1063</v>
      </c>
      <c r="N449" s="358" t="s">
        <v>4426</v>
      </c>
      <c r="O449" s="358" t="s">
        <v>1197</v>
      </c>
    </row>
    <row r="450">
      <c r="A450" s="358" t="s">
        <v>4427</v>
      </c>
      <c r="B450" s="358">
        <v>1725.0</v>
      </c>
      <c r="C450" s="358" t="s">
        <v>4428</v>
      </c>
      <c r="D450" s="359">
        <v>27353.0</v>
      </c>
      <c r="E450" s="358">
        <v>5.94801308E8</v>
      </c>
      <c r="F450" s="358" t="s">
        <v>3354</v>
      </c>
      <c r="G450" s="358" t="s">
        <v>1565</v>
      </c>
      <c r="H450" s="358" t="s">
        <v>1566</v>
      </c>
      <c r="I450" s="361" t="s">
        <v>4429</v>
      </c>
      <c r="J450" s="358">
        <v>9.7990191E7</v>
      </c>
      <c r="K450" s="358" t="s">
        <v>1061</v>
      </c>
      <c r="L450" s="358" t="s">
        <v>4430</v>
      </c>
      <c r="M450" s="358" t="s">
        <v>1151</v>
      </c>
      <c r="N450" s="358" t="s">
        <v>4431</v>
      </c>
      <c r="O450" s="358" t="s">
        <v>4432</v>
      </c>
    </row>
    <row r="451">
      <c r="A451" s="358" t="s">
        <v>4433</v>
      </c>
      <c r="B451" s="358">
        <v>613.0</v>
      </c>
      <c r="C451" s="358" t="s">
        <v>1448</v>
      </c>
      <c r="D451" s="359">
        <v>22107.0</v>
      </c>
      <c r="E451" s="358">
        <v>1.26248175E8</v>
      </c>
      <c r="F451" s="358" t="s">
        <v>1449</v>
      </c>
      <c r="G451" s="358" t="s">
        <v>74</v>
      </c>
      <c r="H451" s="358" t="s">
        <v>1450</v>
      </c>
      <c r="I451" s="362" t="s">
        <v>1451</v>
      </c>
      <c r="J451" s="358">
        <v>7.2252375E7</v>
      </c>
      <c r="K451" s="358" t="s">
        <v>4434</v>
      </c>
      <c r="L451" s="358" t="s">
        <v>4435</v>
      </c>
      <c r="M451" s="358" t="s">
        <v>1063</v>
      </c>
      <c r="N451" s="358" t="s">
        <v>4436</v>
      </c>
      <c r="O451" s="358" t="s">
        <v>1454</v>
      </c>
    </row>
    <row r="452">
      <c r="A452" s="358" t="s">
        <v>4437</v>
      </c>
      <c r="B452" s="358">
        <v>986.0</v>
      </c>
      <c r="C452" s="358" t="s">
        <v>1115</v>
      </c>
      <c r="D452" s="359">
        <v>33624.0</v>
      </c>
      <c r="E452" s="358">
        <v>3.83194283E8</v>
      </c>
      <c r="F452" s="358" t="s">
        <v>4438</v>
      </c>
      <c r="G452" s="360" t="s">
        <v>1058</v>
      </c>
      <c r="H452" s="358" t="s">
        <v>4439</v>
      </c>
      <c r="I452" s="362" t="s">
        <v>4440</v>
      </c>
      <c r="J452" s="358">
        <v>7.830337E7</v>
      </c>
      <c r="K452" s="358" t="s">
        <v>4441</v>
      </c>
      <c r="L452" s="358" t="s">
        <v>4442</v>
      </c>
      <c r="M452" s="358" t="s">
        <v>1063</v>
      </c>
      <c r="N452" s="358" t="s">
        <v>4443</v>
      </c>
      <c r="O452" s="358" t="s">
        <v>4444</v>
      </c>
    </row>
    <row r="453">
      <c r="A453" s="358" t="s">
        <v>4445</v>
      </c>
      <c r="B453" s="358">
        <v>1199.0</v>
      </c>
      <c r="C453" s="358" t="s">
        <v>4057</v>
      </c>
      <c r="D453" s="359">
        <v>34145.0</v>
      </c>
      <c r="E453" s="358">
        <v>2.88401311E8</v>
      </c>
      <c r="F453" s="358" t="s">
        <v>4446</v>
      </c>
      <c r="G453" s="360" t="s">
        <v>1058</v>
      </c>
      <c r="H453" s="358" t="s">
        <v>4447</v>
      </c>
      <c r="I453" s="362" t="s">
        <v>4448</v>
      </c>
      <c r="J453" s="358">
        <v>8.3386742E7</v>
      </c>
      <c r="K453" s="358" t="s">
        <v>4449</v>
      </c>
      <c r="L453" s="358" t="s">
        <v>4450</v>
      </c>
      <c r="M453" s="358" t="s">
        <v>1063</v>
      </c>
      <c r="N453" s="358" t="s">
        <v>4451</v>
      </c>
      <c r="O453" s="358" t="s">
        <v>4452</v>
      </c>
    </row>
    <row r="454">
      <c r="A454" s="358" t="s">
        <v>4453</v>
      </c>
      <c r="B454" s="358">
        <v>1223.0</v>
      </c>
      <c r="C454" s="358" t="s">
        <v>2570</v>
      </c>
      <c r="D454" s="359">
        <v>33178.0</v>
      </c>
      <c r="E454" s="358">
        <v>4.87523088E8</v>
      </c>
      <c r="F454" s="358" t="s">
        <v>4454</v>
      </c>
      <c r="G454" s="360" t="s">
        <v>1058</v>
      </c>
      <c r="H454" s="358" t="s">
        <v>4455</v>
      </c>
      <c r="I454" s="362" t="s">
        <v>4456</v>
      </c>
      <c r="J454" s="358">
        <v>8.3231501E7</v>
      </c>
      <c r="K454" s="358" t="s">
        <v>4457</v>
      </c>
      <c r="L454" s="358" t="s">
        <v>4458</v>
      </c>
      <c r="M454" s="358" t="s">
        <v>1063</v>
      </c>
      <c r="N454" s="358" t="s">
        <v>4459</v>
      </c>
      <c r="O454" s="358" t="s">
        <v>3738</v>
      </c>
    </row>
    <row r="455">
      <c r="A455" s="358" t="s">
        <v>4460</v>
      </c>
      <c r="B455" s="358">
        <v>1360.0</v>
      </c>
      <c r="C455" s="358" t="s">
        <v>4057</v>
      </c>
      <c r="D455" s="359">
        <v>37658.0</v>
      </c>
      <c r="E455" s="358">
        <v>6.69087336E8</v>
      </c>
      <c r="F455" s="358" t="s">
        <v>4461</v>
      </c>
      <c r="G455" s="360" t="s">
        <v>1058</v>
      </c>
      <c r="H455" s="358" t="s">
        <v>4462</v>
      </c>
      <c r="I455" s="362" t="s">
        <v>4463</v>
      </c>
      <c r="J455" s="358">
        <v>8.3741828E7</v>
      </c>
      <c r="K455" s="358" t="s">
        <v>4464</v>
      </c>
      <c r="L455" s="358" t="s">
        <v>4465</v>
      </c>
      <c r="M455" s="358" t="s">
        <v>1063</v>
      </c>
      <c r="N455" s="358" t="s">
        <v>4466</v>
      </c>
      <c r="O455" s="358" t="s">
        <v>3738</v>
      </c>
    </row>
    <row r="456">
      <c r="A456" s="358" t="s">
        <v>4467</v>
      </c>
      <c r="B456" s="358">
        <v>816.0</v>
      </c>
      <c r="C456" s="358" t="s">
        <v>2790</v>
      </c>
      <c r="D456" s="359">
        <v>28396.0</v>
      </c>
      <c r="E456" s="358">
        <v>6.29743186E8</v>
      </c>
      <c r="F456" s="358" t="s">
        <v>4468</v>
      </c>
      <c r="G456" s="360" t="s">
        <v>1058</v>
      </c>
      <c r="H456" s="358" t="s">
        <v>4469</v>
      </c>
      <c r="I456" s="362" t="s">
        <v>4470</v>
      </c>
      <c r="J456" s="358">
        <v>7.499484E7</v>
      </c>
      <c r="K456" s="358" t="s">
        <v>4471</v>
      </c>
      <c r="L456" s="358" t="s">
        <v>4472</v>
      </c>
      <c r="M456" s="358" t="s">
        <v>1063</v>
      </c>
      <c r="N456" s="358" t="s">
        <v>4473</v>
      </c>
      <c r="O456" s="358" t="s">
        <v>4474</v>
      </c>
    </row>
    <row r="457">
      <c r="A457" s="358" t="s">
        <v>4475</v>
      </c>
      <c r="B457" s="358">
        <v>954.0</v>
      </c>
      <c r="C457" s="358" t="s">
        <v>133</v>
      </c>
      <c r="D457" s="359">
        <v>28643.0</v>
      </c>
      <c r="E457" s="358">
        <v>4.75093288E8</v>
      </c>
      <c r="F457" s="358" t="s">
        <v>4476</v>
      </c>
      <c r="G457" s="358" t="s">
        <v>1380</v>
      </c>
      <c r="H457" s="358" t="s">
        <v>1873</v>
      </c>
      <c r="I457" s="362" t="s">
        <v>4477</v>
      </c>
      <c r="J457" s="358">
        <v>7.7124782E7</v>
      </c>
      <c r="K457" s="358" t="s">
        <v>4478</v>
      </c>
      <c r="L457" s="358" t="s">
        <v>4479</v>
      </c>
      <c r="M457" s="358" t="s">
        <v>1063</v>
      </c>
      <c r="N457" s="358" t="s">
        <v>4480</v>
      </c>
      <c r="O457" s="358" t="s">
        <v>2978</v>
      </c>
    </row>
    <row r="458">
      <c r="A458" s="358" t="s">
        <v>4481</v>
      </c>
      <c r="B458" s="358">
        <v>847.0</v>
      </c>
      <c r="C458" s="358" t="s">
        <v>1333</v>
      </c>
      <c r="D458" s="359">
        <v>36712.0</v>
      </c>
      <c r="E458" s="358">
        <v>5.65117397E8</v>
      </c>
      <c r="F458" s="358" t="s">
        <v>4482</v>
      </c>
      <c r="G458" s="358" t="s">
        <v>2168</v>
      </c>
      <c r="H458" s="358" t="s">
        <v>4483</v>
      </c>
      <c r="I458" s="362" t="s">
        <v>4484</v>
      </c>
      <c r="J458" s="358">
        <v>7.5863685E7</v>
      </c>
      <c r="K458" s="358" t="s">
        <v>4485</v>
      </c>
      <c r="L458" s="358" t="s">
        <v>4486</v>
      </c>
      <c r="M458" s="358" t="s">
        <v>1063</v>
      </c>
      <c r="N458" s="358" t="s">
        <v>4487</v>
      </c>
      <c r="O458" s="358" t="s">
        <v>4488</v>
      </c>
    </row>
    <row r="459">
      <c r="A459" s="358" t="s">
        <v>4489</v>
      </c>
      <c r="B459" s="358">
        <v>1208.0</v>
      </c>
      <c r="C459" s="358" t="s">
        <v>3057</v>
      </c>
      <c r="D459" s="359">
        <v>36606.0</v>
      </c>
      <c r="E459" s="358">
        <v>4.54300657E8</v>
      </c>
      <c r="F459" s="358" t="s">
        <v>4490</v>
      </c>
      <c r="G459" s="360" t="s">
        <v>1058</v>
      </c>
      <c r="H459" s="358" t="s">
        <v>4491</v>
      </c>
      <c r="I459" s="362" t="s">
        <v>4492</v>
      </c>
      <c r="J459" s="358">
        <v>8.1764332E7</v>
      </c>
      <c r="K459" s="358" t="s">
        <v>4493</v>
      </c>
      <c r="L459" s="358" t="s">
        <v>4494</v>
      </c>
      <c r="M459" s="358" t="s">
        <v>1063</v>
      </c>
      <c r="N459" s="358" t="s">
        <v>4495</v>
      </c>
      <c r="O459" s="358" t="s">
        <v>4496</v>
      </c>
    </row>
    <row r="460">
      <c r="A460" s="358" t="s">
        <v>4497</v>
      </c>
      <c r="B460" s="358">
        <v>991.0</v>
      </c>
      <c r="C460" s="358" t="s">
        <v>1333</v>
      </c>
      <c r="D460" s="359">
        <v>34471.0</v>
      </c>
      <c r="E460" s="358">
        <v>6.38974744E8</v>
      </c>
      <c r="F460" s="358" t="s">
        <v>3239</v>
      </c>
      <c r="G460" s="360" t="s">
        <v>1058</v>
      </c>
      <c r="H460" s="358" t="s">
        <v>3240</v>
      </c>
      <c r="I460" s="362" t="s">
        <v>4498</v>
      </c>
      <c r="J460" s="358">
        <v>7.8272963E7</v>
      </c>
      <c r="K460" s="358" t="s">
        <v>4499</v>
      </c>
      <c r="L460" s="358" t="s">
        <v>4500</v>
      </c>
      <c r="M460" s="358" t="s">
        <v>1063</v>
      </c>
      <c r="N460" s="358" t="s">
        <v>4501</v>
      </c>
      <c r="O460" s="358" t="s">
        <v>2312</v>
      </c>
    </row>
    <row r="461">
      <c r="A461" s="358" t="s">
        <v>4502</v>
      </c>
      <c r="B461" s="358">
        <v>549.0</v>
      </c>
      <c r="C461" s="358" t="s">
        <v>4146</v>
      </c>
      <c r="D461" s="359">
        <v>25436.0</v>
      </c>
      <c r="E461" s="358">
        <v>6.26100367E8</v>
      </c>
      <c r="F461" s="358" t="s">
        <v>4503</v>
      </c>
      <c r="G461" s="360" t="s">
        <v>1058</v>
      </c>
      <c r="H461" s="358" t="s">
        <v>1117</v>
      </c>
      <c r="I461" s="362" t="s">
        <v>4504</v>
      </c>
      <c r="J461" s="358">
        <v>7.112254E7</v>
      </c>
      <c r="K461" s="358" t="s">
        <v>4505</v>
      </c>
      <c r="L461" s="358" t="s">
        <v>4506</v>
      </c>
      <c r="M461" s="358" t="s">
        <v>1063</v>
      </c>
      <c r="N461" s="358" t="s">
        <v>4507</v>
      </c>
      <c r="O461" s="358" t="s">
        <v>4508</v>
      </c>
    </row>
    <row r="462">
      <c r="A462" s="358" t="s">
        <v>4509</v>
      </c>
      <c r="B462" s="358">
        <v>1724.0</v>
      </c>
      <c r="C462" s="358" t="s">
        <v>4510</v>
      </c>
      <c r="D462" s="359">
        <v>33281.0</v>
      </c>
      <c r="E462" s="358">
        <v>6.65418097E8</v>
      </c>
      <c r="F462" s="358" t="s">
        <v>4511</v>
      </c>
      <c r="G462" s="360" t="s">
        <v>1058</v>
      </c>
      <c r="H462" s="358" t="s">
        <v>4512</v>
      </c>
      <c r="I462" s="362" t="s">
        <v>4513</v>
      </c>
      <c r="J462" s="358">
        <v>9.8037811E7</v>
      </c>
      <c r="K462" s="358" t="s">
        <v>1061</v>
      </c>
      <c r="L462" s="358" t="s">
        <v>4514</v>
      </c>
      <c r="M462" s="358" t="s">
        <v>1063</v>
      </c>
      <c r="N462" s="358" t="s">
        <v>4515</v>
      </c>
      <c r="O462" s="358" t="s">
        <v>4516</v>
      </c>
    </row>
    <row r="463">
      <c r="A463" s="358" t="s">
        <v>4517</v>
      </c>
      <c r="B463" s="358">
        <v>1722.0</v>
      </c>
      <c r="C463" s="358" t="s">
        <v>4510</v>
      </c>
      <c r="D463" s="359">
        <v>33281.0</v>
      </c>
      <c r="E463" s="358">
        <v>6.65418097E8</v>
      </c>
      <c r="F463" s="358" t="s">
        <v>4511</v>
      </c>
      <c r="G463" s="360" t="s">
        <v>1058</v>
      </c>
      <c r="H463" s="358" t="s">
        <v>4512</v>
      </c>
      <c r="I463" s="362" t="s">
        <v>4518</v>
      </c>
      <c r="J463" s="358">
        <v>9.8035908E7</v>
      </c>
      <c r="K463" s="358" t="s">
        <v>1061</v>
      </c>
      <c r="L463" s="358" t="s">
        <v>4519</v>
      </c>
      <c r="M463" s="358" t="s">
        <v>1063</v>
      </c>
      <c r="N463" s="358" t="s">
        <v>4520</v>
      </c>
      <c r="O463" s="358" t="s">
        <v>4516</v>
      </c>
    </row>
    <row r="464">
      <c r="A464" s="358" t="s">
        <v>4521</v>
      </c>
      <c r="B464" s="358">
        <v>1042.0</v>
      </c>
      <c r="C464" s="358" t="s">
        <v>1720</v>
      </c>
      <c r="D464" s="359">
        <v>28956.0</v>
      </c>
      <c r="E464" s="358">
        <v>2.86081957E8</v>
      </c>
      <c r="F464" s="358" t="s">
        <v>1482</v>
      </c>
      <c r="G464" s="360" t="s">
        <v>1058</v>
      </c>
      <c r="H464" s="358" t="s">
        <v>1483</v>
      </c>
      <c r="I464" s="362" t="s">
        <v>4522</v>
      </c>
      <c r="J464" s="358">
        <v>8.0885233E7</v>
      </c>
      <c r="K464" s="358" t="s">
        <v>4523</v>
      </c>
      <c r="L464" s="358" t="s">
        <v>4524</v>
      </c>
      <c r="M464" s="358" t="s">
        <v>1063</v>
      </c>
      <c r="N464" s="358" t="s">
        <v>4525</v>
      </c>
      <c r="O464" s="358" t="s">
        <v>4526</v>
      </c>
    </row>
    <row r="465">
      <c r="A465" s="358" t="s">
        <v>4527</v>
      </c>
      <c r="B465" s="358">
        <v>300.0</v>
      </c>
      <c r="C465" s="358" t="s">
        <v>1822</v>
      </c>
      <c r="D465" s="359">
        <v>25694.0</v>
      </c>
      <c r="E465" s="358">
        <v>5.70771468E8</v>
      </c>
      <c r="F465" s="358" t="s">
        <v>4528</v>
      </c>
      <c r="G465" s="358" t="s">
        <v>2168</v>
      </c>
      <c r="H465" s="358" t="s">
        <v>4529</v>
      </c>
      <c r="I465" s="362" t="s">
        <v>4530</v>
      </c>
      <c r="J465" s="358">
        <v>6.552545E7</v>
      </c>
      <c r="K465" s="358" t="s">
        <v>4531</v>
      </c>
      <c r="L465" s="358" t="s">
        <v>4532</v>
      </c>
      <c r="M465" s="358" t="s">
        <v>1063</v>
      </c>
      <c r="N465" s="358" t="s">
        <v>4533</v>
      </c>
      <c r="O465" s="358" t="s">
        <v>4534</v>
      </c>
    </row>
    <row r="466">
      <c r="A466" s="358" t="s">
        <v>4535</v>
      </c>
      <c r="B466" s="358">
        <v>1566.0</v>
      </c>
      <c r="C466" s="358" t="s">
        <v>1199</v>
      </c>
      <c r="D466" s="359">
        <v>28143.0</v>
      </c>
      <c r="E466" s="358">
        <v>7.87125593E8</v>
      </c>
      <c r="F466" s="358" t="s">
        <v>4536</v>
      </c>
      <c r="G466" s="358" t="s">
        <v>1265</v>
      </c>
      <c r="H466" s="358" t="s">
        <v>4368</v>
      </c>
      <c r="I466" s="362" t="s">
        <v>4537</v>
      </c>
      <c r="J466" s="358">
        <v>9.2566138E7</v>
      </c>
      <c r="K466" s="358" t="s">
        <v>4538</v>
      </c>
      <c r="L466" s="358" t="s">
        <v>4539</v>
      </c>
      <c r="M466" s="358" t="s">
        <v>1063</v>
      </c>
      <c r="N466" s="358" t="s">
        <v>4540</v>
      </c>
      <c r="O466" s="358" t="s">
        <v>3173</v>
      </c>
    </row>
    <row r="467">
      <c r="A467" s="358" t="s">
        <v>4541</v>
      </c>
      <c r="B467" s="358">
        <v>1595.0</v>
      </c>
      <c r="C467" s="358" t="s">
        <v>1853</v>
      </c>
      <c r="D467" s="359">
        <v>27866.0</v>
      </c>
      <c r="E467" s="358">
        <v>3.7083116E8</v>
      </c>
      <c r="F467" s="358" t="s">
        <v>2318</v>
      </c>
      <c r="G467" s="360" t="s">
        <v>1058</v>
      </c>
      <c r="H467" s="358" t="s">
        <v>1838</v>
      </c>
      <c r="I467" s="362" t="s">
        <v>4542</v>
      </c>
      <c r="J467" s="358">
        <v>9.2819737E7</v>
      </c>
      <c r="K467" s="358" t="s">
        <v>4543</v>
      </c>
      <c r="L467" s="358" t="s">
        <v>4544</v>
      </c>
      <c r="M467" s="358" t="s">
        <v>1063</v>
      </c>
      <c r="N467" s="358" t="s">
        <v>4545</v>
      </c>
      <c r="O467" s="358" t="s">
        <v>2312</v>
      </c>
    </row>
    <row r="468">
      <c r="A468" s="358" t="s">
        <v>4546</v>
      </c>
      <c r="B468" s="358">
        <v>913.0</v>
      </c>
      <c r="C468" s="358" t="s">
        <v>4250</v>
      </c>
      <c r="D468" s="359">
        <v>28287.0</v>
      </c>
      <c r="E468" s="358">
        <v>6.11998051E8</v>
      </c>
      <c r="F468" s="358" t="s">
        <v>4547</v>
      </c>
      <c r="G468" s="360" t="s">
        <v>1058</v>
      </c>
      <c r="H468" s="358" t="s">
        <v>2606</v>
      </c>
      <c r="I468" s="362" t="s">
        <v>4548</v>
      </c>
      <c r="J468" s="358">
        <v>7.7429311E7</v>
      </c>
      <c r="K468" s="358" t="s">
        <v>4549</v>
      </c>
      <c r="L468" s="358" t="s">
        <v>4550</v>
      </c>
      <c r="M468" s="358" t="s">
        <v>1063</v>
      </c>
      <c r="N468" s="358" t="s">
        <v>4551</v>
      </c>
      <c r="O468" s="358" t="s">
        <v>4552</v>
      </c>
    </row>
    <row r="469">
      <c r="A469" s="358" t="s">
        <v>4553</v>
      </c>
      <c r="B469" s="358">
        <v>1347.0</v>
      </c>
      <c r="C469" s="358" t="s">
        <v>3184</v>
      </c>
      <c r="D469" s="359">
        <v>29677.0</v>
      </c>
      <c r="E469" s="358">
        <v>3.11085829E8</v>
      </c>
      <c r="F469" s="358" t="s">
        <v>4554</v>
      </c>
      <c r="G469" s="360" t="s">
        <v>1058</v>
      </c>
      <c r="H469" s="358" t="s">
        <v>4555</v>
      </c>
      <c r="I469" s="362" t="s">
        <v>4556</v>
      </c>
      <c r="J469" s="358">
        <v>8.6439375E7</v>
      </c>
      <c r="K469" s="358" t="s">
        <v>4557</v>
      </c>
      <c r="L469" s="358" t="s">
        <v>4558</v>
      </c>
      <c r="M469" s="358" t="s">
        <v>1063</v>
      </c>
      <c r="N469" s="358" t="s">
        <v>4559</v>
      </c>
      <c r="O469" s="358" t="s">
        <v>4560</v>
      </c>
    </row>
    <row r="470">
      <c r="A470" s="358" t="s">
        <v>4561</v>
      </c>
      <c r="B470" s="358">
        <v>6.0</v>
      </c>
      <c r="C470" s="358" t="s">
        <v>4562</v>
      </c>
      <c r="D470" s="359">
        <v>25379.0</v>
      </c>
      <c r="E470" s="358">
        <v>3.94060982E8</v>
      </c>
      <c r="F470" s="358" t="s">
        <v>4563</v>
      </c>
      <c r="G470" s="358" t="s">
        <v>4564</v>
      </c>
      <c r="H470" s="358" t="s">
        <v>4565</v>
      </c>
      <c r="I470" s="362" t="s">
        <v>4566</v>
      </c>
      <c r="J470" s="358">
        <v>5.6138423E7</v>
      </c>
      <c r="K470" s="358" t="s">
        <v>4567</v>
      </c>
      <c r="L470" s="358" t="s">
        <v>4568</v>
      </c>
      <c r="M470" s="358" t="s">
        <v>1151</v>
      </c>
      <c r="N470" s="358" t="s">
        <v>4569</v>
      </c>
      <c r="O470" s="358" t="s">
        <v>4570</v>
      </c>
    </row>
    <row r="471">
      <c r="A471" s="358" t="s">
        <v>4571</v>
      </c>
      <c r="B471" s="358">
        <v>1201.0</v>
      </c>
      <c r="C471" s="358" t="s">
        <v>1489</v>
      </c>
      <c r="D471" s="359">
        <v>26766.0</v>
      </c>
      <c r="E471" s="358">
        <v>5.19148125E8</v>
      </c>
      <c r="F471" s="358" t="s">
        <v>4572</v>
      </c>
      <c r="G471" s="360" t="s">
        <v>1058</v>
      </c>
      <c r="H471" s="358" t="s">
        <v>4573</v>
      </c>
      <c r="I471" s="362" t="s">
        <v>4574</v>
      </c>
      <c r="J471" s="358">
        <v>8.3026053E7</v>
      </c>
      <c r="K471" s="358" t="s">
        <v>4575</v>
      </c>
      <c r="L471" s="358" t="s">
        <v>4576</v>
      </c>
      <c r="M471" s="358" t="s">
        <v>1151</v>
      </c>
      <c r="N471" s="358" t="s">
        <v>4577</v>
      </c>
      <c r="O471" s="358" t="s">
        <v>4578</v>
      </c>
    </row>
    <row r="472">
      <c r="A472" s="358" t="s">
        <v>4579</v>
      </c>
      <c r="B472" s="358">
        <v>490.0</v>
      </c>
      <c r="C472" s="358" t="s">
        <v>3057</v>
      </c>
      <c r="D472" s="359">
        <v>30703.0</v>
      </c>
      <c r="E472" s="358">
        <v>3.52678264E8</v>
      </c>
      <c r="F472" s="358" t="s">
        <v>4580</v>
      </c>
      <c r="G472" s="360" t="s">
        <v>1058</v>
      </c>
      <c r="H472" s="358" t="s">
        <v>3108</v>
      </c>
      <c r="I472" s="362" t="s">
        <v>4581</v>
      </c>
      <c r="J472" s="358">
        <v>7.1324208E7</v>
      </c>
      <c r="K472" s="358" t="s">
        <v>4582</v>
      </c>
      <c r="L472" s="358" t="s">
        <v>4583</v>
      </c>
      <c r="M472" s="358" t="s">
        <v>1063</v>
      </c>
      <c r="N472" s="358" t="s">
        <v>4584</v>
      </c>
      <c r="O472" s="358" t="s">
        <v>4585</v>
      </c>
    </row>
    <row r="473">
      <c r="A473" s="358" t="s">
        <v>4586</v>
      </c>
      <c r="B473" s="358">
        <v>1692.0</v>
      </c>
      <c r="C473" s="358" t="s">
        <v>4587</v>
      </c>
      <c r="D473" s="359">
        <v>31082.0</v>
      </c>
      <c r="E473" s="358">
        <v>6.03063494E8</v>
      </c>
      <c r="F473" s="358" t="s">
        <v>3416</v>
      </c>
      <c r="G473" s="360" t="s">
        <v>1058</v>
      </c>
      <c r="H473" s="358" t="s">
        <v>4588</v>
      </c>
      <c r="I473" s="362" t="s">
        <v>4589</v>
      </c>
      <c r="J473" s="358">
        <v>9.6602422E7</v>
      </c>
      <c r="K473" s="358" t="s">
        <v>4590</v>
      </c>
      <c r="L473" s="358" t="s">
        <v>4591</v>
      </c>
      <c r="M473" s="358" t="s">
        <v>1063</v>
      </c>
      <c r="N473" s="358" t="s">
        <v>4592</v>
      </c>
      <c r="O473" s="358" t="s">
        <v>3422</v>
      </c>
    </row>
    <row r="474">
      <c r="A474" s="358" t="s">
        <v>4593</v>
      </c>
      <c r="B474" s="358">
        <v>1139.0</v>
      </c>
      <c r="C474" s="358" t="s">
        <v>1319</v>
      </c>
      <c r="D474" s="359">
        <v>28052.0</v>
      </c>
      <c r="E474" s="358">
        <v>4.27203922E8</v>
      </c>
      <c r="F474" s="358" t="s">
        <v>4594</v>
      </c>
      <c r="G474" s="360" t="s">
        <v>1058</v>
      </c>
      <c r="H474" s="358" t="s">
        <v>2343</v>
      </c>
      <c r="I474" s="362" t="s">
        <v>4595</v>
      </c>
      <c r="J474" s="358">
        <v>8.2198012E7</v>
      </c>
      <c r="K474" s="358" t="s">
        <v>4596</v>
      </c>
      <c r="L474" s="358" t="s">
        <v>4597</v>
      </c>
      <c r="M474" s="358" t="s">
        <v>1063</v>
      </c>
      <c r="N474" s="358" t="s">
        <v>4598</v>
      </c>
      <c r="O474" s="358" t="s">
        <v>4599</v>
      </c>
    </row>
    <row r="475">
      <c r="A475" s="358" t="s">
        <v>4600</v>
      </c>
      <c r="B475" s="358">
        <v>586.0</v>
      </c>
      <c r="C475" s="358" t="s">
        <v>1199</v>
      </c>
      <c r="D475" s="359">
        <v>36002.0</v>
      </c>
      <c r="E475" s="358">
        <v>6.82811737E8</v>
      </c>
      <c r="F475" s="358" t="s">
        <v>4601</v>
      </c>
      <c r="G475" s="360" t="s">
        <v>1058</v>
      </c>
      <c r="H475" s="358" t="s">
        <v>4602</v>
      </c>
      <c r="I475" s="362" t="s">
        <v>4603</v>
      </c>
      <c r="J475" s="358">
        <v>6.971401E7</v>
      </c>
      <c r="K475" s="358" t="s">
        <v>4604</v>
      </c>
      <c r="L475" s="358" t="s">
        <v>4605</v>
      </c>
      <c r="M475" s="358" t="s">
        <v>1063</v>
      </c>
      <c r="N475" s="358" t="s">
        <v>4606</v>
      </c>
      <c r="O475" s="358" t="s">
        <v>2304</v>
      </c>
    </row>
    <row r="476">
      <c r="A476" s="358" t="s">
        <v>4607</v>
      </c>
      <c r="B476" s="358">
        <v>1052.0</v>
      </c>
      <c r="C476" s="358" t="s">
        <v>2824</v>
      </c>
      <c r="D476" s="359">
        <v>23572.0</v>
      </c>
      <c r="E476" s="358">
        <v>3.89624561E8</v>
      </c>
      <c r="F476" s="358" t="s">
        <v>3740</v>
      </c>
      <c r="G476" s="358" t="s">
        <v>2724</v>
      </c>
      <c r="H476" s="358" t="s">
        <v>3741</v>
      </c>
      <c r="I476" s="362" t="s">
        <v>4608</v>
      </c>
      <c r="J476" s="358">
        <v>8.1373732E7</v>
      </c>
      <c r="K476" s="358" t="s">
        <v>4609</v>
      </c>
      <c r="L476" s="358" t="s">
        <v>4610</v>
      </c>
      <c r="M476" s="358" t="s">
        <v>1063</v>
      </c>
      <c r="N476" s="358" t="s">
        <v>4611</v>
      </c>
      <c r="O476" s="358" t="s">
        <v>4612</v>
      </c>
    </row>
    <row r="477">
      <c r="A477" s="358" t="s">
        <v>4613</v>
      </c>
      <c r="B477" s="358">
        <v>985.0</v>
      </c>
      <c r="C477" s="358" t="s">
        <v>4614</v>
      </c>
      <c r="D477" s="359">
        <v>35516.0</v>
      </c>
      <c r="E477" s="358" t="s">
        <v>4615</v>
      </c>
      <c r="F477" s="358" t="s">
        <v>4616</v>
      </c>
      <c r="G477" s="360" t="s">
        <v>1058</v>
      </c>
      <c r="H477" s="358" t="s">
        <v>4617</v>
      </c>
      <c r="I477" s="362" t="s">
        <v>4618</v>
      </c>
      <c r="J477" s="358">
        <v>8.9969472E7</v>
      </c>
      <c r="K477" s="358" t="s">
        <v>4619</v>
      </c>
      <c r="L477" s="358" t="s">
        <v>4620</v>
      </c>
      <c r="M477" s="358" t="s">
        <v>1063</v>
      </c>
      <c r="N477" s="358" t="s">
        <v>4621</v>
      </c>
      <c r="O477" s="358" t="s">
        <v>3525</v>
      </c>
    </row>
    <row r="478">
      <c r="A478" s="358" t="s">
        <v>4622</v>
      </c>
      <c r="B478" s="358">
        <v>1569.0</v>
      </c>
      <c r="C478" s="358" t="s">
        <v>2541</v>
      </c>
      <c r="D478" s="359">
        <v>28997.0</v>
      </c>
      <c r="E478" s="358">
        <v>2.8488577E8</v>
      </c>
      <c r="F478" s="358" t="s">
        <v>3263</v>
      </c>
      <c r="G478" s="360" t="s">
        <v>1058</v>
      </c>
      <c r="H478" s="358" t="s">
        <v>3264</v>
      </c>
      <c r="I478" s="361" t="s">
        <v>4623</v>
      </c>
      <c r="J478" s="358">
        <v>9.2713483E7</v>
      </c>
      <c r="K478" s="358" t="s">
        <v>4624</v>
      </c>
      <c r="L478" s="358" t="s">
        <v>4625</v>
      </c>
      <c r="M478" s="358" t="s">
        <v>1063</v>
      </c>
      <c r="N478" s="358" t="s">
        <v>4626</v>
      </c>
      <c r="O478" s="358" t="s">
        <v>4627</v>
      </c>
    </row>
    <row r="479">
      <c r="A479" s="358" t="s">
        <v>4628</v>
      </c>
      <c r="B479" s="358">
        <v>1705.0</v>
      </c>
      <c r="C479" s="358" t="s">
        <v>2914</v>
      </c>
      <c r="D479" s="359">
        <v>34034.0</v>
      </c>
      <c r="E479" s="358">
        <v>5.15867214E8</v>
      </c>
      <c r="F479" s="358" t="s">
        <v>4629</v>
      </c>
      <c r="G479" s="358" t="s">
        <v>1265</v>
      </c>
      <c r="H479" s="358" t="s">
        <v>4630</v>
      </c>
      <c r="I479" s="362" t="s">
        <v>4631</v>
      </c>
      <c r="J479" s="358">
        <v>9.7137898E7</v>
      </c>
      <c r="K479" s="358" t="s">
        <v>4632</v>
      </c>
      <c r="L479" s="358" t="s">
        <v>4633</v>
      </c>
      <c r="M479" s="358" t="s">
        <v>1063</v>
      </c>
      <c r="N479" s="358" t="s">
        <v>4634</v>
      </c>
      <c r="O479" s="358" t="s">
        <v>4635</v>
      </c>
    </row>
    <row r="480">
      <c r="A480" s="358" t="s">
        <v>4636</v>
      </c>
      <c r="B480" s="358">
        <v>1651.0</v>
      </c>
      <c r="C480" s="358" t="s">
        <v>1720</v>
      </c>
      <c r="D480" s="359">
        <v>38047.0</v>
      </c>
      <c r="E480" s="358">
        <v>3.80902114E8</v>
      </c>
      <c r="F480" s="358" t="s">
        <v>2036</v>
      </c>
      <c r="G480" s="360" t="s">
        <v>1058</v>
      </c>
      <c r="H480" s="358" t="s">
        <v>4637</v>
      </c>
      <c r="I480" s="362" t="s">
        <v>4638</v>
      </c>
      <c r="J480" s="358">
        <v>9.4650551E7</v>
      </c>
      <c r="K480" s="358" t="s">
        <v>4639</v>
      </c>
      <c r="L480" s="358" t="s">
        <v>4640</v>
      </c>
      <c r="M480" s="358" t="s">
        <v>1063</v>
      </c>
      <c r="N480" s="358" t="s">
        <v>4641</v>
      </c>
      <c r="O480" s="358" t="s">
        <v>1376</v>
      </c>
    </row>
    <row r="481">
      <c r="A481" s="358" t="s">
        <v>4642</v>
      </c>
      <c r="B481" s="358">
        <v>1266.0</v>
      </c>
      <c r="C481" s="358" t="s">
        <v>1892</v>
      </c>
      <c r="D481" s="359">
        <v>29878.0</v>
      </c>
      <c r="E481" s="358">
        <v>3.83125583E8</v>
      </c>
      <c r="F481" s="358" t="s">
        <v>4643</v>
      </c>
      <c r="G481" s="360" t="s">
        <v>1058</v>
      </c>
      <c r="H481" s="358" t="s">
        <v>4644</v>
      </c>
      <c r="I481" s="362" t="s">
        <v>4645</v>
      </c>
      <c r="J481" s="358">
        <v>8.5467359E7</v>
      </c>
      <c r="K481" s="358" t="s">
        <v>4646</v>
      </c>
      <c r="L481" s="358" t="s">
        <v>4647</v>
      </c>
      <c r="M481" s="358" t="s">
        <v>1063</v>
      </c>
      <c r="N481" s="358" t="s">
        <v>4648</v>
      </c>
      <c r="O481" s="358" t="s">
        <v>4649</v>
      </c>
    </row>
    <row r="482">
      <c r="A482" s="358" t="s">
        <v>4650</v>
      </c>
      <c r="B482" s="358">
        <v>1446.0</v>
      </c>
      <c r="C482" s="358" t="s">
        <v>1595</v>
      </c>
      <c r="D482" s="359">
        <v>34136.0</v>
      </c>
      <c r="E482" s="358">
        <v>6.28895331E8</v>
      </c>
      <c r="F482" s="358" t="s">
        <v>4651</v>
      </c>
      <c r="G482" s="360" t="s">
        <v>1058</v>
      </c>
      <c r="H482" s="358" t="s">
        <v>4652</v>
      </c>
      <c r="I482" s="362" t="s">
        <v>4653</v>
      </c>
      <c r="J482" s="358">
        <v>8.2333211E7</v>
      </c>
      <c r="K482" s="358" t="s">
        <v>4654</v>
      </c>
      <c r="L482" s="358" t="s">
        <v>4655</v>
      </c>
      <c r="M482" s="358" t="s">
        <v>1063</v>
      </c>
      <c r="N482" s="358" t="s">
        <v>4656</v>
      </c>
      <c r="O482" s="358" t="s">
        <v>4657</v>
      </c>
    </row>
    <row r="483">
      <c r="A483" s="358" t="s">
        <v>4658</v>
      </c>
      <c r="B483" s="358">
        <v>887.0</v>
      </c>
      <c r="C483" s="358" t="s">
        <v>2846</v>
      </c>
      <c r="D483" s="359">
        <v>32864.0</v>
      </c>
      <c r="E483" s="358">
        <v>4.04107588E8</v>
      </c>
      <c r="F483" s="358" t="s">
        <v>4659</v>
      </c>
      <c r="G483" s="360" t="s">
        <v>1058</v>
      </c>
      <c r="H483" s="358" t="s">
        <v>4660</v>
      </c>
      <c r="I483" s="362" t="s">
        <v>4661</v>
      </c>
      <c r="J483" s="358">
        <v>8.9885619E7</v>
      </c>
      <c r="K483" s="358" t="s">
        <v>4662</v>
      </c>
      <c r="L483" s="358" t="s">
        <v>4663</v>
      </c>
      <c r="M483" s="358" t="s">
        <v>1063</v>
      </c>
      <c r="N483" s="358" t="s">
        <v>4664</v>
      </c>
      <c r="O483" s="358" t="s">
        <v>2912</v>
      </c>
    </row>
    <row r="484">
      <c r="A484" s="358" t="s">
        <v>4665</v>
      </c>
      <c r="B484" s="358">
        <v>982.0</v>
      </c>
      <c r="C484" s="358" t="s">
        <v>2325</v>
      </c>
      <c r="D484" s="359">
        <v>31864.0</v>
      </c>
      <c r="E484" s="358">
        <v>2.50920761E8</v>
      </c>
      <c r="F484" s="358" t="s">
        <v>4352</v>
      </c>
      <c r="G484" s="358" t="s">
        <v>2168</v>
      </c>
      <c r="H484" s="358" t="s">
        <v>4353</v>
      </c>
      <c r="I484" s="362" t="s">
        <v>4357</v>
      </c>
      <c r="J484" s="358">
        <v>7.8207622E7</v>
      </c>
      <c r="K484" s="358" t="s">
        <v>4666</v>
      </c>
      <c r="L484" s="358" t="s">
        <v>4667</v>
      </c>
      <c r="M484" s="358" t="s">
        <v>1063</v>
      </c>
      <c r="N484" s="358" t="s">
        <v>4668</v>
      </c>
      <c r="O484" s="358" t="s">
        <v>2312</v>
      </c>
    </row>
    <row r="485">
      <c r="A485" s="358" t="s">
        <v>4669</v>
      </c>
      <c r="B485" s="358">
        <v>903.0</v>
      </c>
      <c r="C485" s="358" t="s">
        <v>1618</v>
      </c>
      <c r="D485" s="359">
        <v>28902.0</v>
      </c>
      <c r="E485" s="358">
        <v>6.47669237E8</v>
      </c>
      <c r="F485" s="358" t="s">
        <v>4670</v>
      </c>
      <c r="G485" s="358" t="s">
        <v>74</v>
      </c>
      <c r="H485" s="358" t="s">
        <v>4671</v>
      </c>
      <c r="I485" s="362" t="s">
        <v>4672</v>
      </c>
      <c r="J485" s="358">
        <v>7.7009223E7</v>
      </c>
      <c r="K485" s="358" t="s">
        <v>4673</v>
      </c>
      <c r="L485" s="358" t="s">
        <v>4674</v>
      </c>
      <c r="M485" s="358" t="s">
        <v>1063</v>
      </c>
      <c r="N485" s="358" t="s">
        <v>4675</v>
      </c>
      <c r="O485" s="358" t="s">
        <v>4676</v>
      </c>
    </row>
    <row r="486">
      <c r="A486" s="358" t="s">
        <v>4677</v>
      </c>
      <c r="B486" s="358">
        <v>1306.0</v>
      </c>
      <c r="C486" s="358" t="s">
        <v>1879</v>
      </c>
      <c r="D486" s="359">
        <v>33973.0</v>
      </c>
      <c r="E486" s="358">
        <v>4.98280585E8</v>
      </c>
      <c r="F486" s="358" t="s">
        <v>4678</v>
      </c>
      <c r="G486" s="360" t="s">
        <v>1058</v>
      </c>
      <c r="H486" s="358" t="s">
        <v>4679</v>
      </c>
      <c r="I486" s="362" t="s">
        <v>4680</v>
      </c>
      <c r="J486" s="358">
        <v>8.5717428E7</v>
      </c>
      <c r="K486" s="358" t="s">
        <v>4681</v>
      </c>
      <c r="L486" s="358" t="s">
        <v>4682</v>
      </c>
      <c r="M486" s="358" t="s">
        <v>1063</v>
      </c>
      <c r="N486" s="358" t="s">
        <v>4683</v>
      </c>
      <c r="O486" s="358" t="s">
        <v>1479</v>
      </c>
    </row>
    <row r="487">
      <c r="A487" s="358" t="s">
        <v>4684</v>
      </c>
      <c r="B487" s="358">
        <v>1161.0</v>
      </c>
      <c r="C487" s="358" t="s">
        <v>1720</v>
      </c>
      <c r="D487" s="359">
        <v>26124.0</v>
      </c>
      <c r="E487" s="358">
        <v>3.83374728E8</v>
      </c>
      <c r="F487" s="358" t="s">
        <v>4685</v>
      </c>
      <c r="G487" s="360" t="s">
        <v>1058</v>
      </c>
      <c r="H487" s="358" t="s">
        <v>4686</v>
      </c>
      <c r="I487" s="362" t="s">
        <v>4687</v>
      </c>
      <c r="J487" s="358">
        <v>6.8014686E7</v>
      </c>
      <c r="K487" s="358" t="s">
        <v>4688</v>
      </c>
      <c r="L487" s="358" t="s">
        <v>4689</v>
      </c>
      <c r="M487" s="358" t="s">
        <v>1063</v>
      </c>
      <c r="N487" s="358" t="s">
        <v>4690</v>
      </c>
      <c r="O487" s="358" t="s">
        <v>2594</v>
      </c>
    </row>
    <row r="488">
      <c r="A488" s="358" t="s">
        <v>4691</v>
      </c>
      <c r="B488" s="358">
        <v>912.0</v>
      </c>
      <c r="C488" s="358" t="s">
        <v>4692</v>
      </c>
      <c r="D488" s="359">
        <v>34414.0</v>
      </c>
      <c r="E488" s="358">
        <v>6.12749447E8</v>
      </c>
      <c r="F488" s="358" t="s">
        <v>4693</v>
      </c>
      <c r="G488" s="360" t="s">
        <v>1058</v>
      </c>
      <c r="H488" s="358" t="s">
        <v>4694</v>
      </c>
      <c r="I488" s="362" t="s">
        <v>4695</v>
      </c>
      <c r="J488" s="358">
        <v>7.6320685E7</v>
      </c>
      <c r="K488" s="358" t="s">
        <v>4696</v>
      </c>
      <c r="L488" s="358" t="s">
        <v>4697</v>
      </c>
      <c r="M488" s="358" t="s">
        <v>1063</v>
      </c>
      <c r="N488" s="358" t="s">
        <v>4698</v>
      </c>
      <c r="O488" s="358" t="s">
        <v>3496</v>
      </c>
    </row>
    <row r="489">
      <c r="A489" s="358" t="s">
        <v>4699</v>
      </c>
      <c r="B489" s="358">
        <v>1477.0</v>
      </c>
      <c r="C489" s="358" t="s">
        <v>2325</v>
      </c>
      <c r="D489" s="359">
        <v>30238.0</v>
      </c>
      <c r="E489" s="358">
        <v>2.99610901E8</v>
      </c>
      <c r="F489" s="358" t="s">
        <v>1893</v>
      </c>
      <c r="G489" s="360" t="s">
        <v>1058</v>
      </c>
      <c r="H489" s="358" t="s">
        <v>1894</v>
      </c>
      <c r="I489" s="362" t="s">
        <v>4700</v>
      </c>
      <c r="J489" s="358">
        <v>8.9676017E7</v>
      </c>
      <c r="K489" s="358" t="s">
        <v>4701</v>
      </c>
      <c r="L489" s="358" t="s">
        <v>4702</v>
      </c>
      <c r="M489" s="358" t="s">
        <v>1063</v>
      </c>
      <c r="N489" s="358" t="s">
        <v>4703</v>
      </c>
      <c r="O489" s="358" t="s">
        <v>4704</v>
      </c>
    </row>
    <row r="490">
      <c r="A490" s="358" t="s">
        <v>4705</v>
      </c>
      <c r="B490" s="358">
        <v>1662.0</v>
      </c>
      <c r="C490" s="358" t="s">
        <v>1892</v>
      </c>
      <c r="D490" s="359">
        <v>27539.0</v>
      </c>
      <c r="E490" s="358">
        <v>5.19237675E8</v>
      </c>
      <c r="F490" s="358" t="s">
        <v>4706</v>
      </c>
      <c r="G490" s="360" t="s">
        <v>1058</v>
      </c>
      <c r="H490" s="358" t="s">
        <v>4707</v>
      </c>
      <c r="I490" s="362" t="s">
        <v>4708</v>
      </c>
      <c r="J490" s="358">
        <v>9.5091904E7</v>
      </c>
      <c r="K490" s="358" t="s">
        <v>4709</v>
      </c>
      <c r="L490" s="358" t="s">
        <v>4710</v>
      </c>
      <c r="M490" s="358" t="s">
        <v>1063</v>
      </c>
      <c r="N490" s="358" t="s">
        <v>4711</v>
      </c>
      <c r="O490" s="358" t="s">
        <v>4712</v>
      </c>
    </row>
    <row r="491">
      <c r="A491" s="358" t="s">
        <v>4713</v>
      </c>
      <c r="B491" s="358">
        <v>1356.0</v>
      </c>
      <c r="C491" s="358" t="s">
        <v>2466</v>
      </c>
      <c r="D491" s="359">
        <v>28490.0</v>
      </c>
      <c r="E491" s="358">
        <v>3.01551686E8</v>
      </c>
      <c r="F491" s="358" t="s">
        <v>2467</v>
      </c>
      <c r="G491" s="360" t="s">
        <v>1058</v>
      </c>
      <c r="H491" s="358" t="s">
        <v>4714</v>
      </c>
      <c r="I491" s="362" t="s">
        <v>4715</v>
      </c>
      <c r="J491" s="358">
        <v>8.6650076E7</v>
      </c>
      <c r="K491" s="358" t="s">
        <v>4716</v>
      </c>
      <c r="L491" s="358" t="s">
        <v>4717</v>
      </c>
      <c r="M491" s="358" t="s">
        <v>1063</v>
      </c>
      <c r="N491" s="358" t="s">
        <v>4718</v>
      </c>
      <c r="O491" s="358" t="s">
        <v>1898</v>
      </c>
    </row>
    <row r="492">
      <c r="A492" s="358" t="s">
        <v>4719</v>
      </c>
      <c r="B492" s="358">
        <v>691.0</v>
      </c>
      <c r="C492" s="358" t="s">
        <v>1082</v>
      </c>
      <c r="D492" s="359">
        <v>26284.0</v>
      </c>
      <c r="E492" s="358">
        <v>2.6432523E8</v>
      </c>
      <c r="F492" s="358" t="s">
        <v>4720</v>
      </c>
      <c r="G492" s="360" t="s">
        <v>1058</v>
      </c>
      <c r="H492" s="358" t="s">
        <v>4721</v>
      </c>
      <c r="I492" s="362" t="s">
        <v>4722</v>
      </c>
      <c r="J492" s="358">
        <v>7.371634E7</v>
      </c>
      <c r="K492" s="358" t="s">
        <v>4723</v>
      </c>
      <c r="L492" s="358" t="s">
        <v>4724</v>
      </c>
      <c r="M492" s="358" t="s">
        <v>1063</v>
      </c>
      <c r="N492" s="358" t="s">
        <v>4725</v>
      </c>
      <c r="O492" s="358" t="s">
        <v>1735</v>
      </c>
    </row>
    <row r="493">
      <c r="A493" s="358" t="s">
        <v>4726</v>
      </c>
      <c r="B493" s="358">
        <v>542.0</v>
      </c>
      <c r="C493" s="358" t="s">
        <v>1531</v>
      </c>
      <c r="D493" s="359">
        <v>25925.0</v>
      </c>
      <c r="E493" s="358">
        <v>3.18137574E8</v>
      </c>
      <c r="F493" s="358" t="s">
        <v>4727</v>
      </c>
      <c r="G493" s="360" t="s">
        <v>1058</v>
      </c>
      <c r="H493" s="358" t="s">
        <v>4728</v>
      </c>
      <c r="I493" s="362" t="s">
        <v>4729</v>
      </c>
      <c r="J493" s="358">
        <v>7.0936285E7</v>
      </c>
      <c r="K493" s="358" t="s">
        <v>4730</v>
      </c>
      <c r="L493" s="358" t="s">
        <v>4731</v>
      </c>
      <c r="M493" s="358" t="s">
        <v>1063</v>
      </c>
      <c r="N493" s="358" t="s">
        <v>4732</v>
      </c>
      <c r="O493" s="358" t="s">
        <v>4733</v>
      </c>
    </row>
    <row r="494">
      <c r="A494" s="358" t="s">
        <v>4734</v>
      </c>
      <c r="B494" s="358">
        <v>889.0</v>
      </c>
      <c r="C494" s="358" t="s">
        <v>1892</v>
      </c>
      <c r="D494" s="359">
        <v>25067.0</v>
      </c>
      <c r="E494" s="358">
        <v>4.14168975E8</v>
      </c>
      <c r="F494" s="358" t="s">
        <v>3618</v>
      </c>
      <c r="G494" s="360" t="s">
        <v>1058</v>
      </c>
      <c r="H494" s="358" t="s">
        <v>3619</v>
      </c>
      <c r="I494" s="362" t="s">
        <v>4735</v>
      </c>
      <c r="J494" s="358">
        <v>7.6668371E7</v>
      </c>
      <c r="K494" s="358" t="s">
        <v>4736</v>
      </c>
      <c r="L494" s="358" t="s">
        <v>4737</v>
      </c>
      <c r="M494" s="358" t="s">
        <v>1151</v>
      </c>
      <c r="N494" s="358" t="s">
        <v>4738</v>
      </c>
      <c r="O494" s="358" t="s">
        <v>4739</v>
      </c>
    </row>
    <row r="495">
      <c r="A495" s="358" t="s">
        <v>4740</v>
      </c>
      <c r="B495" s="358">
        <v>422.0</v>
      </c>
      <c r="C495" s="358" t="s">
        <v>2184</v>
      </c>
      <c r="D495" s="359">
        <v>31562.0</v>
      </c>
      <c r="E495" s="358">
        <v>6.18530058E8</v>
      </c>
      <c r="F495" s="358" t="s">
        <v>4741</v>
      </c>
      <c r="G495" s="360" t="s">
        <v>1058</v>
      </c>
      <c r="H495" s="358" t="s">
        <v>4742</v>
      </c>
      <c r="I495" s="362" t="s">
        <v>4743</v>
      </c>
      <c r="J495" s="358">
        <v>9.6104856E7</v>
      </c>
      <c r="K495" s="358" t="s">
        <v>4744</v>
      </c>
      <c r="L495" s="358" t="s">
        <v>4745</v>
      </c>
      <c r="M495" s="358" t="s">
        <v>1063</v>
      </c>
      <c r="N495" s="358" t="s">
        <v>4746</v>
      </c>
      <c r="O495" s="358" t="s">
        <v>4747</v>
      </c>
    </row>
    <row r="496">
      <c r="A496" s="358" t="s">
        <v>4748</v>
      </c>
      <c r="B496" s="358">
        <v>1004.0</v>
      </c>
      <c r="C496" s="358" t="s">
        <v>3779</v>
      </c>
      <c r="D496" s="359">
        <v>32835.0</v>
      </c>
      <c r="E496" s="358">
        <v>3.75828072E8</v>
      </c>
      <c r="F496" s="358" t="s">
        <v>4749</v>
      </c>
      <c r="G496" s="360" t="s">
        <v>1058</v>
      </c>
      <c r="H496" s="358" t="s">
        <v>4750</v>
      </c>
      <c r="I496" s="362" t="s">
        <v>4751</v>
      </c>
      <c r="J496" s="358">
        <v>7.8484456E7</v>
      </c>
      <c r="K496" s="358" t="s">
        <v>4752</v>
      </c>
      <c r="L496" s="358" t="s">
        <v>4753</v>
      </c>
      <c r="M496" s="358" t="s">
        <v>1063</v>
      </c>
      <c r="N496" s="358" t="s">
        <v>4754</v>
      </c>
      <c r="O496" s="358" t="s">
        <v>1506</v>
      </c>
    </row>
    <row r="497">
      <c r="A497" s="358" t="s">
        <v>4755</v>
      </c>
      <c r="B497" s="358">
        <v>952.0</v>
      </c>
      <c r="C497" s="358" t="s">
        <v>1199</v>
      </c>
      <c r="D497" s="359">
        <v>28656.0</v>
      </c>
      <c r="E497" s="358">
        <v>6.6821023E8</v>
      </c>
      <c r="F497" s="358" t="s">
        <v>4756</v>
      </c>
      <c r="G497" s="360" t="s">
        <v>1058</v>
      </c>
      <c r="H497" s="358" t="s">
        <v>4757</v>
      </c>
      <c r="I497" s="361" t="s">
        <v>4758</v>
      </c>
      <c r="J497" s="358">
        <v>7.7683013E7</v>
      </c>
      <c r="K497" s="358" t="s">
        <v>4759</v>
      </c>
      <c r="L497" s="358" t="s">
        <v>4760</v>
      </c>
      <c r="M497" s="358" t="s">
        <v>1063</v>
      </c>
      <c r="N497" s="358" t="s">
        <v>4761</v>
      </c>
      <c r="O497" s="358" t="s">
        <v>1144</v>
      </c>
    </row>
    <row r="498">
      <c r="A498" s="358" t="s">
        <v>4762</v>
      </c>
      <c r="B498" s="358">
        <v>1720.0</v>
      </c>
      <c r="C498" s="358" t="s">
        <v>1781</v>
      </c>
      <c r="D498" s="359">
        <v>25653.0</v>
      </c>
      <c r="E498" s="358">
        <v>2.41155472E8</v>
      </c>
      <c r="G498" s="154"/>
      <c r="H498" s="154"/>
      <c r="I498" s="361" t="s">
        <v>4763</v>
      </c>
      <c r="J498" s="358">
        <v>9.8049887E7</v>
      </c>
      <c r="K498" s="358" t="s">
        <v>1061</v>
      </c>
      <c r="L498" s="358" t="s">
        <v>4764</v>
      </c>
      <c r="M498" s="358" t="s">
        <v>1063</v>
      </c>
      <c r="N498" s="358" t="s">
        <v>4765</v>
      </c>
      <c r="O498" s="358" t="s">
        <v>4766</v>
      </c>
    </row>
    <row r="499">
      <c r="A499" s="358" t="s">
        <v>4767</v>
      </c>
      <c r="B499" s="358">
        <v>995.0</v>
      </c>
      <c r="C499" s="358" t="s">
        <v>1781</v>
      </c>
      <c r="D499" s="359">
        <v>25653.0</v>
      </c>
      <c r="E499" s="358">
        <v>2.41155472E8</v>
      </c>
      <c r="F499" s="358" t="s">
        <v>4768</v>
      </c>
      <c r="G499" s="358" t="s">
        <v>4769</v>
      </c>
      <c r="H499" s="358" t="s">
        <v>4770</v>
      </c>
      <c r="I499" s="361" t="s">
        <v>4771</v>
      </c>
      <c r="J499" s="358">
        <v>8.1256434E7</v>
      </c>
      <c r="K499" s="358" t="s">
        <v>4772</v>
      </c>
      <c r="L499" s="358" t="s">
        <v>4773</v>
      </c>
      <c r="M499" s="358" t="s">
        <v>1063</v>
      </c>
      <c r="N499" s="358" t="s">
        <v>4774</v>
      </c>
      <c r="O499" s="358" t="s">
        <v>4766</v>
      </c>
    </row>
    <row r="500">
      <c r="A500" s="358" t="s">
        <v>4775</v>
      </c>
      <c r="B500" s="358">
        <v>1721.0</v>
      </c>
      <c r="C500" s="358" t="s">
        <v>1781</v>
      </c>
      <c r="D500" s="359">
        <v>25653.0</v>
      </c>
      <c r="E500" s="358">
        <v>2.41155472E8</v>
      </c>
      <c r="F500" s="358" t="s">
        <v>4768</v>
      </c>
      <c r="G500" s="358" t="s">
        <v>4769</v>
      </c>
      <c r="H500" s="358" t="s">
        <v>4770</v>
      </c>
      <c r="I500" s="362" t="s">
        <v>4776</v>
      </c>
      <c r="J500" s="358">
        <v>9.8052985E7</v>
      </c>
      <c r="K500" s="358" t="s">
        <v>1061</v>
      </c>
      <c r="L500" s="358" t="s">
        <v>4777</v>
      </c>
      <c r="M500" s="358" t="s">
        <v>1063</v>
      </c>
      <c r="N500" s="358" t="s">
        <v>4778</v>
      </c>
      <c r="O500" s="358" t="s">
        <v>4766</v>
      </c>
    </row>
    <row r="501">
      <c r="A501" s="358" t="s">
        <v>4779</v>
      </c>
      <c r="B501" s="358">
        <v>201.0</v>
      </c>
      <c r="C501" s="358" t="s">
        <v>4780</v>
      </c>
      <c r="D501" s="359">
        <v>28691.0</v>
      </c>
      <c r="E501" s="358">
        <v>6.85273441E8</v>
      </c>
      <c r="F501" s="358" t="s">
        <v>4781</v>
      </c>
      <c r="G501" s="360" t="s">
        <v>1058</v>
      </c>
      <c r="H501" s="358" t="s">
        <v>4782</v>
      </c>
      <c r="I501" s="362" t="s">
        <v>4783</v>
      </c>
      <c r="J501" s="358">
        <v>9.490398E7</v>
      </c>
      <c r="K501" s="358" t="s">
        <v>4784</v>
      </c>
      <c r="L501" s="358" t="s">
        <v>4785</v>
      </c>
      <c r="M501" s="358" t="s">
        <v>1063</v>
      </c>
      <c r="N501" s="358" t="s">
        <v>4786</v>
      </c>
      <c r="O501" s="358" t="s">
        <v>4787</v>
      </c>
    </row>
    <row r="502">
      <c r="A502" s="358" t="s">
        <v>4788</v>
      </c>
      <c r="B502" s="358">
        <v>1649.0</v>
      </c>
      <c r="C502" s="358" t="s">
        <v>4789</v>
      </c>
      <c r="D502" s="359">
        <v>32390.0</v>
      </c>
      <c r="E502" s="358">
        <v>6.66488393E8</v>
      </c>
      <c r="F502" s="358" t="s">
        <v>4790</v>
      </c>
      <c r="G502" s="358" t="s">
        <v>4791</v>
      </c>
      <c r="H502" s="358" t="s">
        <v>4792</v>
      </c>
      <c r="I502" s="361" t="s">
        <v>4793</v>
      </c>
      <c r="J502" s="358">
        <v>9.4539766E7</v>
      </c>
      <c r="K502" s="358" t="s">
        <v>4794</v>
      </c>
      <c r="L502" s="358" t="s">
        <v>4795</v>
      </c>
      <c r="M502" s="358" t="s">
        <v>1063</v>
      </c>
      <c r="N502" s="358" t="s">
        <v>4796</v>
      </c>
      <c r="O502" s="358" t="s">
        <v>4797</v>
      </c>
    </row>
    <row r="503">
      <c r="A503" s="358" t="s">
        <v>4798</v>
      </c>
      <c r="B503" s="358">
        <v>1009.0</v>
      </c>
      <c r="C503" s="358" t="s">
        <v>1123</v>
      </c>
      <c r="D503" s="359">
        <v>28916.0</v>
      </c>
      <c r="E503" s="358">
        <v>3.54122599E8</v>
      </c>
      <c r="F503" s="358" t="s">
        <v>4799</v>
      </c>
      <c r="G503" s="360" t="s">
        <v>1058</v>
      </c>
      <c r="H503" s="358" t="s">
        <v>4800</v>
      </c>
      <c r="I503" s="362" t="s">
        <v>4801</v>
      </c>
      <c r="J503" s="358">
        <v>7.864861E7</v>
      </c>
      <c r="K503" s="358" t="s">
        <v>4802</v>
      </c>
      <c r="L503" s="358" t="s">
        <v>4803</v>
      </c>
      <c r="M503" s="358" t="s">
        <v>1063</v>
      </c>
      <c r="N503" s="358" t="s">
        <v>4804</v>
      </c>
      <c r="O503" s="358" t="s">
        <v>2764</v>
      </c>
    </row>
    <row r="504">
      <c r="A504" s="358" t="s">
        <v>4805</v>
      </c>
      <c r="B504" s="358">
        <v>636.0</v>
      </c>
      <c r="C504" s="358" t="s">
        <v>4806</v>
      </c>
      <c r="D504" s="359">
        <v>27948.0</v>
      </c>
      <c r="E504" s="358">
        <v>5.84059899E8</v>
      </c>
      <c r="F504" s="358" t="s">
        <v>4807</v>
      </c>
      <c r="G504" s="358" t="s">
        <v>4808</v>
      </c>
      <c r="H504" s="358" t="s">
        <v>4809</v>
      </c>
      <c r="I504" s="361" t="s">
        <v>4810</v>
      </c>
      <c r="J504" s="358">
        <v>7.2702176E7</v>
      </c>
      <c r="K504" s="358" t="s">
        <v>4811</v>
      </c>
      <c r="L504" s="358" t="s">
        <v>4812</v>
      </c>
      <c r="M504" s="358" t="s">
        <v>1063</v>
      </c>
      <c r="N504" s="358" t="s">
        <v>4813</v>
      </c>
      <c r="O504" s="358" t="s">
        <v>4814</v>
      </c>
    </row>
    <row r="505">
      <c r="A505" s="358" t="s">
        <v>4815</v>
      </c>
      <c r="B505" s="358">
        <v>384.0</v>
      </c>
      <c r="C505" s="358" t="s">
        <v>4806</v>
      </c>
      <c r="D505" s="359">
        <v>27948.0</v>
      </c>
      <c r="E505" s="358">
        <v>5.84059899E8</v>
      </c>
      <c r="F505" s="358" t="s">
        <v>4807</v>
      </c>
      <c r="G505" s="358" t="s">
        <v>4808</v>
      </c>
      <c r="H505" s="358" t="s">
        <v>4816</v>
      </c>
      <c r="I505" s="362" t="s">
        <v>4817</v>
      </c>
      <c r="J505" s="358">
        <v>6.7992706E7</v>
      </c>
      <c r="K505" s="358" t="s">
        <v>4818</v>
      </c>
      <c r="L505" s="358" t="s">
        <v>4819</v>
      </c>
      <c r="M505" s="358" t="s">
        <v>1063</v>
      </c>
      <c r="N505" s="358" t="s">
        <v>4820</v>
      </c>
      <c r="O505" s="358" t="s">
        <v>4814</v>
      </c>
    </row>
    <row r="506">
      <c r="A506" s="358" t="s">
        <v>4821</v>
      </c>
      <c r="B506" s="358">
        <v>1136.0</v>
      </c>
      <c r="C506" s="358" t="s">
        <v>1892</v>
      </c>
      <c r="D506" s="359">
        <v>32111.0</v>
      </c>
      <c r="E506" s="358">
        <v>3.67346023E8</v>
      </c>
      <c r="F506" s="358" t="s">
        <v>4822</v>
      </c>
      <c r="G506" s="360" t="s">
        <v>1058</v>
      </c>
      <c r="H506" s="358" t="s">
        <v>4823</v>
      </c>
      <c r="I506" s="362" t="s">
        <v>4824</v>
      </c>
      <c r="J506" s="358">
        <v>8.2403562E7</v>
      </c>
      <c r="K506" s="358" t="s">
        <v>4825</v>
      </c>
      <c r="L506" s="358" t="s">
        <v>4826</v>
      </c>
      <c r="M506" s="358" t="s">
        <v>1063</v>
      </c>
      <c r="N506" s="358" t="s">
        <v>4827</v>
      </c>
      <c r="O506" s="358" t="s">
        <v>4649</v>
      </c>
    </row>
    <row r="507">
      <c r="A507" s="358" t="s">
        <v>4828</v>
      </c>
      <c r="B507" s="358">
        <v>1723.0</v>
      </c>
      <c r="C507" s="358" t="s">
        <v>4510</v>
      </c>
      <c r="D507" s="359">
        <v>33281.0</v>
      </c>
      <c r="E507" s="358">
        <v>6.65418097E8</v>
      </c>
      <c r="F507" s="358" t="s">
        <v>4829</v>
      </c>
      <c r="G507" s="360" t="s">
        <v>4830</v>
      </c>
      <c r="H507" s="358" t="s">
        <v>4831</v>
      </c>
      <c r="I507" s="362" t="s">
        <v>4832</v>
      </c>
      <c r="J507" s="358">
        <v>9.8033883E7</v>
      </c>
      <c r="K507" s="358" t="s">
        <v>4833</v>
      </c>
      <c r="L507" s="358" t="s">
        <v>4834</v>
      </c>
      <c r="M507" s="358" t="s">
        <v>1063</v>
      </c>
      <c r="N507" s="358" t="s">
        <v>4835</v>
      </c>
      <c r="O507" s="358" t="s">
        <v>4516</v>
      </c>
    </row>
    <row r="508">
      <c r="A508" s="358" t="s">
        <v>4836</v>
      </c>
      <c r="B508" s="358">
        <v>1511.0</v>
      </c>
      <c r="C508" s="358" t="s">
        <v>1463</v>
      </c>
      <c r="D508" s="359">
        <v>30994.0</v>
      </c>
      <c r="E508" s="358">
        <v>4.50906E8</v>
      </c>
      <c r="F508" s="358" t="s">
        <v>3440</v>
      </c>
      <c r="G508" s="360" t="s">
        <v>1058</v>
      </c>
      <c r="H508" s="358" t="s">
        <v>4423</v>
      </c>
      <c r="I508" s="362" t="s">
        <v>4837</v>
      </c>
      <c r="J508" s="358">
        <v>9.0389379E7</v>
      </c>
      <c r="K508" s="358" t="s">
        <v>4838</v>
      </c>
      <c r="L508" s="358" t="s">
        <v>4839</v>
      </c>
      <c r="M508" s="358" t="s">
        <v>1063</v>
      </c>
      <c r="N508" s="358" t="s">
        <v>4840</v>
      </c>
      <c r="O508" s="358" t="s">
        <v>2216</v>
      </c>
    </row>
    <row r="509">
      <c r="A509" s="358" t="s">
        <v>4841</v>
      </c>
      <c r="B509" s="358">
        <v>1691.0</v>
      </c>
      <c r="C509" s="358" t="s">
        <v>2466</v>
      </c>
      <c r="D509" s="359">
        <v>30967.0</v>
      </c>
      <c r="E509" s="358">
        <v>6.36109598E8</v>
      </c>
      <c r="F509" s="358" t="s">
        <v>2399</v>
      </c>
      <c r="G509" s="360" t="s">
        <v>1058</v>
      </c>
      <c r="H509" s="358" t="s">
        <v>2400</v>
      </c>
      <c r="I509" s="362" t="s">
        <v>4842</v>
      </c>
      <c r="J509" s="358">
        <v>9.6582049E7</v>
      </c>
      <c r="K509" s="358" t="s">
        <v>4843</v>
      </c>
      <c r="L509" s="358" t="s">
        <v>4844</v>
      </c>
      <c r="M509" s="358" t="s">
        <v>1063</v>
      </c>
      <c r="N509" s="358" t="s">
        <v>4845</v>
      </c>
      <c r="O509" s="358" t="s">
        <v>4846</v>
      </c>
    </row>
    <row r="510">
      <c r="A510" s="358" t="s">
        <v>4847</v>
      </c>
      <c r="B510" s="358">
        <v>748.0</v>
      </c>
      <c r="C510" s="358" t="s">
        <v>2090</v>
      </c>
      <c r="D510" s="359">
        <v>32097.0</v>
      </c>
      <c r="E510" s="358">
        <v>2.89073674E8</v>
      </c>
      <c r="F510" s="358" t="s">
        <v>4848</v>
      </c>
      <c r="G510" s="360" t="s">
        <v>1058</v>
      </c>
      <c r="H510" s="358" t="s">
        <v>4849</v>
      </c>
      <c r="I510" s="362" t="s">
        <v>4850</v>
      </c>
      <c r="J510" s="358">
        <v>9.6104988E7</v>
      </c>
      <c r="K510" s="358" t="s">
        <v>4851</v>
      </c>
      <c r="L510" s="358" t="s">
        <v>4852</v>
      </c>
      <c r="M510" s="358" t="s">
        <v>1063</v>
      </c>
      <c r="N510" s="358" t="s">
        <v>4853</v>
      </c>
      <c r="O510" s="358" t="s">
        <v>1417</v>
      </c>
    </row>
    <row r="511">
      <c r="A511" s="358" t="s">
        <v>4854</v>
      </c>
      <c r="B511" s="358">
        <v>493.0</v>
      </c>
      <c r="C511" s="358" t="s">
        <v>1176</v>
      </c>
      <c r="D511" s="359">
        <v>28934.0</v>
      </c>
      <c r="E511" s="358">
        <v>3.84839022E8</v>
      </c>
      <c r="F511" s="358" t="s">
        <v>4855</v>
      </c>
      <c r="G511" s="358" t="s">
        <v>2724</v>
      </c>
      <c r="H511" s="358" t="s">
        <v>4856</v>
      </c>
      <c r="I511" s="362" t="s">
        <v>4857</v>
      </c>
      <c r="J511" s="358">
        <v>7.0606951E7</v>
      </c>
      <c r="K511" s="358" t="s">
        <v>4858</v>
      </c>
      <c r="L511" s="358" t="s">
        <v>4859</v>
      </c>
      <c r="M511" s="358" t="s">
        <v>1063</v>
      </c>
      <c r="N511" s="358" t="s">
        <v>4860</v>
      </c>
      <c r="O511" s="358" t="s">
        <v>4861</v>
      </c>
    </row>
    <row r="512">
      <c r="A512" s="358" t="s">
        <v>4862</v>
      </c>
      <c r="B512" s="358">
        <v>277.0</v>
      </c>
      <c r="C512" s="358" t="s">
        <v>1853</v>
      </c>
      <c r="D512" s="359">
        <v>27866.0</v>
      </c>
      <c r="E512" s="358">
        <v>3.7083116E8</v>
      </c>
      <c r="F512" s="358" t="s">
        <v>1837</v>
      </c>
      <c r="G512" s="360" t="s">
        <v>1058</v>
      </c>
      <c r="H512" s="358" t="s">
        <v>1838</v>
      </c>
      <c r="I512" s="362" t="s">
        <v>4863</v>
      </c>
      <c r="J512" s="358">
        <v>6.2270656E7</v>
      </c>
      <c r="K512" s="358" t="s">
        <v>4864</v>
      </c>
      <c r="L512" s="358" t="s">
        <v>4865</v>
      </c>
      <c r="M512" s="358" t="s">
        <v>1063</v>
      </c>
      <c r="N512" s="358" t="s">
        <v>4866</v>
      </c>
      <c r="O512" s="358" t="s">
        <v>2312</v>
      </c>
    </row>
    <row r="513">
      <c r="A513" s="358" t="s">
        <v>4867</v>
      </c>
      <c r="B513" s="358">
        <v>920.0</v>
      </c>
      <c r="C513" s="358" t="s">
        <v>3153</v>
      </c>
      <c r="D513" s="359">
        <v>30878.0</v>
      </c>
      <c r="E513" s="358">
        <v>6.82540791E8</v>
      </c>
      <c r="F513" s="358" t="s">
        <v>4868</v>
      </c>
      <c r="G513" s="360" t="s">
        <v>1058</v>
      </c>
      <c r="H513" s="358" t="s">
        <v>2563</v>
      </c>
      <c r="I513" s="362" t="s">
        <v>4869</v>
      </c>
      <c r="J513" s="358">
        <v>7.7348591E7</v>
      </c>
      <c r="K513" s="358" t="s">
        <v>4870</v>
      </c>
      <c r="L513" s="358" t="s">
        <v>4871</v>
      </c>
      <c r="M513" s="358" t="s">
        <v>1063</v>
      </c>
      <c r="N513" s="358" t="s">
        <v>4872</v>
      </c>
      <c r="O513" s="358" t="s">
        <v>1197</v>
      </c>
    </row>
    <row r="514">
      <c r="A514" s="358" t="s">
        <v>4873</v>
      </c>
      <c r="B514" s="358">
        <v>1564.0</v>
      </c>
      <c r="C514" s="358" t="s">
        <v>3153</v>
      </c>
      <c r="D514" s="359">
        <v>37700.0</v>
      </c>
      <c r="E514" s="358">
        <v>5.70709544E8</v>
      </c>
      <c r="F514" s="358" t="s">
        <v>4874</v>
      </c>
      <c r="G514" s="360" t="s">
        <v>1058</v>
      </c>
      <c r="H514" s="358" t="s">
        <v>2043</v>
      </c>
      <c r="I514" s="362" t="s">
        <v>4875</v>
      </c>
      <c r="J514" s="358">
        <v>9.2087787E7</v>
      </c>
      <c r="K514" s="358" t="s">
        <v>4876</v>
      </c>
      <c r="L514" s="358" t="s">
        <v>4877</v>
      </c>
      <c r="M514" s="358" t="s">
        <v>1063</v>
      </c>
      <c r="N514" s="358" t="s">
        <v>4878</v>
      </c>
      <c r="O514" s="358" t="s">
        <v>2047</v>
      </c>
    </row>
    <row r="515">
      <c r="A515" s="358" t="s">
        <v>4879</v>
      </c>
      <c r="B515" s="358">
        <v>703.0</v>
      </c>
      <c r="C515" s="358" t="s">
        <v>2532</v>
      </c>
      <c r="D515" s="359">
        <v>30064.0</v>
      </c>
      <c r="E515" s="358">
        <v>4.39333131E8</v>
      </c>
      <c r="F515" s="358" t="s">
        <v>4880</v>
      </c>
      <c r="G515" s="360" t="s">
        <v>1058</v>
      </c>
      <c r="H515" s="358" t="s">
        <v>4881</v>
      </c>
      <c r="I515" s="362" t="s">
        <v>4882</v>
      </c>
      <c r="J515" s="358">
        <v>7.397554E7</v>
      </c>
      <c r="K515" s="358" t="s">
        <v>4883</v>
      </c>
      <c r="L515" s="358" t="s">
        <v>4884</v>
      </c>
      <c r="M515" s="358" t="s">
        <v>1063</v>
      </c>
      <c r="N515" s="358" t="s">
        <v>4885</v>
      </c>
      <c r="O515" s="358" t="s">
        <v>3173</v>
      </c>
    </row>
    <row r="516">
      <c r="A516" s="358" t="s">
        <v>4886</v>
      </c>
      <c r="B516" s="358">
        <v>1531.0</v>
      </c>
      <c r="C516" s="358" t="s">
        <v>4887</v>
      </c>
      <c r="D516" s="359">
        <v>32518.0</v>
      </c>
      <c r="E516" s="358">
        <v>3.43270481E8</v>
      </c>
      <c r="F516" s="358" t="s">
        <v>4888</v>
      </c>
      <c r="G516" s="358" t="s">
        <v>1565</v>
      </c>
      <c r="H516" s="358" t="s">
        <v>4889</v>
      </c>
      <c r="I516" s="362" t="s">
        <v>4890</v>
      </c>
      <c r="J516" s="358">
        <v>9.0528263E7</v>
      </c>
      <c r="K516" s="358" t="s">
        <v>4891</v>
      </c>
      <c r="L516" s="358" t="s">
        <v>4892</v>
      </c>
      <c r="M516" s="358" t="s">
        <v>1063</v>
      </c>
      <c r="N516" s="358" t="s">
        <v>4893</v>
      </c>
      <c r="O516" s="358" t="s">
        <v>4894</v>
      </c>
    </row>
    <row r="517">
      <c r="A517" s="358" t="s">
        <v>4895</v>
      </c>
      <c r="B517" s="358">
        <v>1708.0</v>
      </c>
      <c r="C517" s="358" t="s">
        <v>4896</v>
      </c>
      <c r="D517" s="359">
        <v>38014.0</v>
      </c>
      <c r="E517" s="358">
        <v>4.19582277E8</v>
      </c>
      <c r="F517" s="358" t="s">
        <v>4897</v>
      </c>
      <c r="G517" s="360" t="s">
        <v>1058</v>
      </c>
      <c r="H517" s="358" t="s">
        <v>1730</v>
      </c>
      <c r="I517" s="362" t="s">
        <v>4898</v>
      </c>
      <c r="J517" s="358">
        <v>9.331641E7</v>
      </c>
      <c r="K517" s="358" t="s">
        <v>4899</v>
      </c>
      <c r="L517" s="358" t="s">
        <v>4900</v>
      </c>
      <c r="M517" s="358" t="s">
        <v>1063</v>
      </c>
      <c r="N517" s="358" t="s">
        <v>4901</v>
      </c>
      <c r="O517" s="358" t="s">
        <v>4902</v>
      </c>
    </row>
    <row r="518">
      <c r="A518" s="358" t="s">
        <v>4903</v>
      </c>
      <c r="B518" s="358">
        <v>1374.0</v>
      </c>
      <c r="C518" s="358" t="s">
        <v>1515</v>
      </c>
      <c r="D518" s="359">
        <v>26345.0</v>
      </c>
      <c r="E518" s="358">
        <v>5.26425209E8</v>
      </c>
      <c r="F518" s="358" t="s">
        <v>3671</v>
      </c>
      <c r="G518" s="360" t="s">
        <v>1058</v>
      </c>
      <c r="H518" s="358" t="s">
        <v>3672</v>
      </c>
      <c r="I518" s="362" t="s">
        <v>4904</v>
      </c>
      <c r="J518" s="358">
        <v>8.6817191E7</v>
      </c>
      <c r="K518" s="358" t="s">
        <v>4905</v>
      </c>
      <c r="L518" s="358" t="s">
        <v>4906</v>
      </c>
      <c r="M518" s="358" t="s">
        <v>1063</v>
      </c>
      <c r="N518" s="358" t="s">
        <v>4907</v>
      </c>
      <c r="O518" s="358" t="s">
        <v>3669</v>
      </c>
    </row>
    <row r="519">
      <c r="A519" s="358" t="s">
        <v>4908</v>
      </c>
      <c r="B519" s="358">
        <v>367.0</v>
      </c>
      <c r="C519" s="358" t="s">
        <v>1176</v>
      </c>
      <c r="D519" s="359">
        <v>31563.0</v>
      </c>
      <c r="E519" s="358">
        <v>5.7740614E8</v>
      </c>
      <c r="F519" s="358" t="s">
        <v>4909</v>
      </c>
      <c r="G519" s="358" t="s">
        <v>1380</v>
      </c>
      <c r="H519" s="358" t="s">
        <v>4910</v>
      </c>
      <c r="I519" s="362" t="s">
        <v>4911</v>
      </c>
      <c r="J519" s="358">
        <v>6.7854419E7</v>
      </c>
      <c r="K519" s="358" t="s">
        <v>4912</v>
      </c>
      <c r="L519" s="358" t="s">
        <v>4913</v>
      </c>
      <c r="M519" s="358" t="s">
        <v>1063</v>
      </c>
      <c r="N519" s="358" t="s">
        <v>4914</v>
      </c>
      <c r="O519" s="358" t="s">
        <v>4915</v>
      </c>
    </row>
    <row r="520">
      <c r="A520" s="358" t="s">
        <v>4916</v>
      </c>
      <c r="B520" s="358">
        <v>408.0</v>
      </c>
      <c r="C520" s="358" t="s">
        <v>1176</v>
      </c>
      <c r="D520" s="359">
        <v>34942.0</v>
      </c>
      <c r="E520" s="358">
        <v>4.55563482E8</v>
      </c>
      <c r="F520" s="358" t="s">
        <v>1139</v>
      </c>
      <c r="G520" s="358" t="s">
        <v>2724</v>
      </c>
      <c r="H520" s="358" t="s">
        <v>1140</v>
      </c>
      <c r="I520" s="362" t="s">
        <v>4917</v>
      </c>
      <c r="J520" s="358">
        <v>6.8870426E7</v>
      </c>
      <c r="K520" s="358" t="s">
        <v>4918</v>
      </c>
      <c r="L520" s="358" t="s">
        <v>4919</v>
      </c>
      <c r="M520" s="358" t="s">
        <v>1063</v>
      </c>
      <c r="N520" s="358" t="s">
        <v>4920</v>
      </c>
      <c r="O520" s="358" t="s">
        <v>1144</v>
      </c>
    </row>
    <row r="521">
      <c r="A521" s="358" t="s">
        <v>4921</v>
      </c>
      <c r="B521" s="358">
        <v>833.0</v>
      </c>
      <c r="C521" s="358" t="s">
        <v>1123</v>
      </c>
      <c r="D521" s="359">
        <v>27939.0</v>
      </c>
      <c r="E521" s="358">
        <v>4.05498846E8</v>
      </c>
      <c r="F521" s="358" t="s">
        <v>4922</v>
      </c>
      <c r="G521" s="358" t="s">
        <v>4923</v>
      </c>
      <c r="H521" s="358" t="s">
        <v>4924</v>
      </c>
      <c r="I521" s="362" t="s">
        <v>4925</v>
      </c>
      <c r="J521" s="358">
        <v>7.5626403E7</v>
      </c>
      <c r="K521" s="358" t="s">
        <v>4926</v>
      </c>
      <c r="L521" s="358" t="s">
        <v>4927</v>
      </c>
      <c r="M521" s="358" t="s">
        <v>1063</v>
      </c>
      <c r="N521" s="358" t="s">
        <v>4928</v>
      </c>
      <c r="O521" s="358" t="s">
        <v>4929</v>
      </c>
    </row>
    <row r="522">
      <c r="A522" s="358" t="s">
        <v>4930</v>
      </c>
      <c r="B522" s="358">
        <v>1682.0</v>
      </c>
      <c r="C522" s="358" t="s">
        <v>4931</v>
      </c>
      <c r="D522" s="359">
        <v>36507.0</v>
      </c>
      <c r="E522" s="358">
        <v>6.36135755E8</v>
      </c>
      <c r="F522" s="358" t="s">
        <v>4932</v>
      </c>
      <c r="G522" s="358" t="s">
        <v>2391</v>
      </c>
      <c r="H522" s="358" t="s">
        <v>4933</v>
      </c>
      <c r="I522" s="362" t="s">
        <v>4934</v>
      </c>
      <c r="J522" s="358">
        <v>9.6245794E7</v>
      </c>
      <c r="K522" s="358" t="s">
        <v>1061</v>
      </c>
      <c r="L522" s="358" t="s">
        <v>4935</v>
      </c>
      <c r="M522" s="358" t="s">
        <v>1063</v>
      </c>
      <c r="N522" s="358" t="s">
        <v>4936</v>
      </c>
      <c r="O522" s="358" t="s">
        <v>4937</v>
      </c>
    </row>
    <row r="523">
      <c r="A523" s="358" t="s">
        <v>4938</v>
      </c>
      <c r="B523" s="358">
        <v>503.0</v>
      </c>
      <c r="C523" s="358" t="s">
        <v>4939</v>
      </c>
      <c r="D523" s="359">
        <v>27947.0</v>
      </c>
      <c r="E523" s="358">
        <v>3.26050516E8</v>
      </c>
      <c r="F523" s="358" t="s">
        <v>4940</v>
      </c>
      <c r="G523" s="360" t="s">
        <v>1058</v>
      </c>
      <c r="H523" s="358" t="s">
        <v>4941</v>
      </c>
      <c r="I523" s="362" t="s">
        <v>4942</v>
      </c>
      <c r="J523" s="358">
        <v>7.0696578E7</v>
      </c>
      <c r="K523" s="358" t="s">
        <v>4943</v>
      </c>
      <c r="L523" s="358" t="s">
        <v>4944</v>
      </c>
      <c r="M523" s="358" t="s">
        <v>1063</v>
      </c>
      <c r="N523" s="358" t="s">
        <v>4945</v>
      </c>
      <c r="O523" s="358" t="s">
        <v>3738</v>
      </c>
    </row>
    <row r="524">
      <c r="A524" s="358" t="s">
        <v>4946</v>
      </c>
      <c r="B524" s="358">
        <v>1227.0</v>
      </c>
      <c r="C524" s="358" t="s">
        <v>1176</v>
      </c>
      <c r="D524" s="359">
        <v>33035.0</v>
      </c>
      <c r="E524" s="358">
        <v>3.88084352E8</v>
      </c>
      <c r="F524" s="358" t="s">
        <v>4947</v>
      </c>
      <c r="G524" s="360" t="s">
        <v>1058</v>
      </c>
      <c r="H524" s="358" t="s">
        <v>4948</v>
      </c>
      <c r="I524" s="362" t="s">
        <v>4949</v>
      </c>
      <c r="J524" s="358">
        <v>8.4219254E7</v>
      </c>
      <c r="K524" s="358" t="s">
        <v>4950</v>
      </c>
      <c r="L524" s="358" t="s">
        <v>4951</v>
      </c>
      <c r="M524" s="358" t="s">
        <v>1063</v>
      </c>
      <c r="N524" s="358" t="s">
        <v>4952</v>
      </c>
      <c r="O524" s="358" t="s">
        <v>1270</v>
      </c>
    </row>
    <row r="525">
      <c r="A525" s="358" t="s">
        <v>4953</v>
      </c>
      <c r="B525" s="358">
        <v>233.0</v>
      </c>
      <c r="C525" s="358" t="s">
        <v>1176</v>
      </c>
      <c r="D525" s="359">
        <v>27595.0</v>
      </c>
      <c r="E525" s="358">
        <v>5.37368486E8</v>
      </c>
      <c r="F525" s="358" t="s">
        <v>4954</v>
      </c>
      <c r="G525" s="360" t="s">
        <v>1058</v>
      </c>
      <c r="H525" s="358" t="s">
        <v>2008</v>
      </c>
      <c r="I525" s="362" t="s">
        <v>4955</v>
      </c>
      <c r="J525" s="358">
        <v>6.3763273E7</v>
      </c>
      <c r="K525" s="358" t="s">
        <v>4956</v>
      </c>
      <c r="L525" s="358" t="s">
        <v>4957</v>
      </c>
      <c r="M525" s="358" t="s">
        <v>1063</v>
      </c>
      <c r="N525" s="358" t="s">
        <v>4958</v>
      </c>
      <c r="O525" s="358" t="s">
        <v>4959</v>
      </c>
    </row>
    <row r="526">
      <c r="A526" s="358" t="s">
        <v>4960</v>
      </c>
      <c r="B526" s="358">
        <v>790.0</v>
      </c>
      <c r="C526" s="358" t="s">
        <v>4961</v>
      </c>
      <c r="D526" s="359">
        <v>29408.0</v>
      </c>
      <c r="E526" s="358">
        <v>5.89221826E8</v>
      </c>
      <c r="F526" s="358" t="s">
        <v>4897</v>
      </c>
      <c r="G526" s="360" t="s">
        <v>1058</v>
      </c>
      <c r="H526" s="358" t="s">
        <v>4962</v>
      </c>
      <c r="I526" s="362" t="s">
        <v>4963</v>
      </c>
      <c r="J526" s="358">
        <v>7.4803018E7</v>
      </c>
      <c r="K526" s="358" t="s">
        <v>4964</v>
      </c>
      <c r="L526" s="358" t="s">
        <v>4965</v>
      </c>
      <c r="M526" s="358" t="s">
        <v>1063</v>
      </c>
      <c r="N526" s="358" t="s">
        <v>4966</v>
      </c>
      <c r="O526" s="358" t="s">
        <v>1065</v>
      </c>
    </row>
    <row r="527">
      <c r="A527" s="358" t="s">
        <v>4967</v>
      </c>
      <c r="B527" s="358">
        <v>617.0</v>
      </c>
      <c r="C527" s="358" t="s">
        <v>2090</v>
      </c>
      <c r="D527" s="359">
        <v>31134.0</v>
      </c>
      <c r="E527" s="358" t="s">
        <v>4968</v>
      </c>
      <c r="F527" s="358" t="s">
        <v>4969</v>
      </c>
      <c r="G527" s="360" t="s">
        <v>1058</v>
      </c>
      <c r="H527" s="358" t="s">
        <v>4970</v>
      </c>
      <c r="I527" s="362" t="s">
        <v>4971</v>
      </c>
      <c r="J527" s="358">
        <v>9.2494404E7</v>
      </c>
      <c r="K527" s="358" t="s">
        <v>4972</v>
      </c>
      <c r="L527" s="358" t="s">
        <v>4973</v>
      </c>
      <c r="M527" s="358" t="s">
        <v>1063</v>
      </c>
      <c r="N527" s="358" t="s">
        <v>4974</v>
      </c>
      <c r="O527" s="358" t="s">
        <v>4975</v>
      </c>
    </row>
    <row r="528">
      <c r="A528" s="358" t="s">
        <v>4976</v>
      </c>
      <c r="B528" s="358">
        <v>1522.0</v>
      </c>
      <c r="C528" s="358" t="s">
        <v>4977</v>
      </c>
      <c r="D528" s="359">
        <v>21903.0</v>
      </c>
      <c r="E528" s="358">
        <v>2.65689661E8</v>
      </c>
      <c r="F528" s="358" t="s">
        <v>4978</v>
      </c>
      <c r="G528" s="358" t="s">
        <v>1574</v>
      </c>
      <c r="H528" s="358" t="s">
        <v>4979</v>
      </c>
      <c r="I528" s="362" t="s">
        <v>4980</v>
      </c>
      <c r="J528" s="358">
        <v>8.9786734E7</v>
      </c>
      <c r="K528" s="358" t="s">
        <v>4981</v>
      </c>
      <c r="L528" s="358" t="s">
        <v>4982</v>
      </c>
      <c r="M528" s="358" t="s">
        <v>1063</v>
      </c>
      <c r="N528" s="358" t="s">
        <v>4983</v>
      </c>
      <c r="O528" s="358" t="s">
        <v>4984</v>
      </c>
    </row>
    <row r="529">
      <c r="A529" s="358" t="s">
        <v>4985</v>
      </c>
      <c r="B529" s="358">
        <v>1579.0</v>
      </c>
      <c r="C529" s="358" t="s">
        <v>139</v>
      </c>
      <c r="D529" s="359">
        <v>36379.0</v>
      </c>
      <c r="E529" s="358">
        <v>4.20890762E8</v>
      </c>
      <c r="F529" s="358" t="s">
        <v>4986</v>
      </c>
      <c r="G529" s="360" t="s">
        <v>1058</v>
      </c>
      <c r="H529" s="358" t="s">
        <v>4987</v>
      </c>
      <c r="I529" s="362" t="s">
        <v>4988</v>
      </c>
      <c r="J529" s="358">
        <v>8.9597702E7</v>
      </c>
      <c r="K529" s="358" t="s">
        <v>4989</v>
      </c>
      <c r="L529" s="358" t="s">
        <v>4990</v>
      </c>
      <c r="M529" s="358" t="s">
        <v>1063</v>
      </c>
      <c r="N529" s="358" t="s">
        <v>4991</v>
      </c>
      <c r="O529" s="358" t="s">
        <v>4992</v>
      </c>
    </row>
    <row r="530">
      <c r="A530" s="358" t="s">
        <v>4993</v>
      </c>
      <c r="B530" s="358">
        <v>1726.0</v>
      </c>
      <c r="C530" s="358" t="s">
        <v>2356</v>
      </c>
      <c r="D530" s="359">
        <v>30511.0</v>
      </c>
      <c r="E530" s="358">
        <v>6.71583682E8</v>
      </c>
      <c r="F530" s="358" t="s">
        <v>4994</v>
      </c>
      <c r="G530" s="360" t="s">
        <v>1058</v>
      </c>
      <c r="H530" s="358" t="s">
        <v>4995</v>
      </c>
      <c r="I530" s="362" t="s">
        <v>4996</v>
      </c>
      <c r="J530" s="358">
        <v>9.7673722E7</v>
      </c>
      <c r="K530" s="358" t="s">
        <v>4997</v>
      </c>
      <c r="L530" s="358" t="s">
        <v>4998</v>
      </c>
      <c r="M530" s="358" t="s">
        <v>1063</v>
      </c>
      <c r="N530" s="358" t="s">
        <v>4999</v>
      </c>
      <c r="O530" s="358" t="s">
        <v>4993</v>
      </c>
    </row>
    <row r="531">
      <c r="A531" s="358" t="s">
        <v>5000</v>
      </c>
      <c r="B531" s="358">
        <v>496.0</v>
      </c>
      <c r="C531" s="358" t="s">
        <v>3049</v>
      </c>
      <c r="D531" s="359">
        <v>21772.0</v>
      </c>
      <c r="E531" s="358">
        <v>2.64437378E8</v>
      </c>
      <c r="F531" s="358" t="s">
        <v>5001</v>
      </c>
      <c r="G531" s="358" t="s">
        <v>2724</v>
      </c>
      <c r="H531" s="358" t="s">
        <v>5002</v>
      </c>
      <c r="I531" s="362" t="s">
        <v>5003</v>
      </c>
      <c r="J531" s="358">
        <v>7.0762821E7</v>
      </c>
      <c r="K531" s="358" t="s">
        <v>5004</v>
      </c>
      <c r="L531" s="358" t="s">
        <v>5005</v>
      </c>
      <c r="M531" s="358" t="s">
        <v>1063</v>
      </c>
      <c r="N531" s="358" t="s">
        <v>5006</v>
      </c>
      <c r="O531" s="358" t="s">
        <v>5007</v>
      </c>
    </row>
    <row r="532">
      <c r="A532" s="358" t="s">
        <v>5008</v>
      </c>
      <c r="B532" s="358">
        <v>532.0</v>
      </c>
      <c r="C532" s="358" t="s">
        <v>2193</v>
      </c>
      <c r="D532" s="359">
        <v>27851.0</v>
      </c>
      <c r="E532" s="358">
        <v>5.90594278E8</v>
      </c>
      <c r="F532" s="358" t="s">
        <v>5009</v>
      </c>
      <c r="G532" s="360" t="s">
        <v>1058</v>
      </c>
      <c r="H532" s="358" t="s">
        <v>5010</v>
      </c>
      <c r="I532" s="362" t="s">
        <v>5011</v>
      </c>
      <c r="J532" s="358">
        <v>6.7147038E7</v>
      </c>
      <c r="K532" s="358" t="s">
        <v>5012</v>
      </c>
      <c r="L532" s="358" t="s">
        <v>5013</v>
      </c>
      <c r="M532" s="358" t="s">
        <v>1063</v>
      </c>
      <c r="N532" s="358" t="s">
        <v>5014</v>
      </c>
      <c r="O532" s="358" t="s">
        <v>5015</v>
      </c>
    </row>
    <row r="533">
      <c r="A533" s="358" t="s">
        <v>5016</v>
      </c>
      <c r="B533" s="358">
        <v>687.0</v>
      </c>
      <c r="C533" s="358" t="s">
        <v>4977</v>
      </c>
      <c r="D533" s="359">
        <v>30387.0</v>
      </c>
      <c r="E533" s="358">
        <v>5.54924833E8</v>
      </c>
      <c r="F533" s="358" t="s">
        <v>5017</v>
      </c>
      <c r="G533" s="360" t="s">
        <v>1058</v>
      </c>
      <c r="H533" s="358" t="s">
        <v>5018</v>
      </c>
      <c r="I533" s="362" t="s">
        <v>5019</v>
      </c>
      <c r="J533" s="358">
        <v>7.3667323E7</v>
      </c>
      <c r="K533" s="358" t="s">
        <v>5020</v>
      </c>
      <c r="L533" s="358" t="s">
        <v>5021</v>
      </c>
      <c r="M533" s="358" t="s">
        <v>1063</v>
      </c>
      <c r="N533" s="358" t="s">
        <v>5022</v>
      </c>
      <c r="O533" s="358" t="s">
        <v>5016</v>
      </c>
    </row>
    <row r="534">
      <c r="A534" s="358" t="s">
        <v>5023</v>
      </c>
      <c r="B534" s="358">
        <v>573.0</v>
      </c>
      <c r="C534" s="358" t="s">
        <v>2646</v>
      </c>
      <c r="D534" s="359">
        <v>31663.0</v>
      </c>
      <c r="E534" s="358">
        <v>2.80288098E8</v>
      </c>
      <c r="F534" s="358" t="s">
        <v>5024</v>
      </c>
      <c r="G534" s="358" t="s">
        <v>2168</v>
      </c>
      <c r="H534" s="358" t="s">
        <v>5025</v>
      </c>
      <c r="I534" s="362" t="s">
        <v>5026</v>
      </c>
      <c r="J534" s="358">
        <v>7.1649794E7</v>
      </c>
      <c r="K534" s="358" t="s">
        <v>5027</v>
      </c>
      <c r="L534" s="358" t="s">
        <v>5028</v>
      </c>
      <c r="M534" s="358" t="s">
        <v>1063</v>
      </c>
      <c r="N534" s="358" t="s">
        <v>5029</v>
      </c>
      <c r="O534" s="358" t="s">
        <v>5030</v>
      </c>
    </row>
    <row r="535">
      <c r="A535" s="358" t="s">
        <v>5031</v>
      </c>
      <c r="B535" s="358">
        <v>1633.0</v>
      </c>
      <c r="C535" s="358" t="s">
        <v>2193</v>
      </c>
      <c r="D535" s="359">
        <v>32653.0</v>
      </c>
      <c r="E535" s="358">
        <v>6.98445491E8</v>
      </c>
      <c r="F535" s="358" t="s">
        <v>5032</v>
      </c>
      <c r="G535" s="360" t="s">
        <v>1058</v>
      </c>
      <c r="H535" s="358" t="s">
        <v>5033</v>
      </c>
      <c r="I535" s="362" t="s">
        <v>5034</v>
      </c>
      <c r="J535" s="358">
        <v>9.6016922E7</v>
      </c>
      <c r="K535" s="358" t="s">
        <v>5035</v>
      </c>
      <c r="L535" s="358" t="s">
        <v>5036</v>
      </c>
      <c r="M535" s="358" t="s">
        <v>1063</v>
      </c>
      <c r="N535" s="358" t="s">
        <v>5037</v>
      </c>
      <c r="O535" s="358" t="s">
        <v>4081</v>
      </c>
    </row>
    <row r="536">
      <c r="A536" s="358" t="s">
        <v>5038</v>
      </c>
      <c r="B536" s="358">
        <v>1430.0</v>
      </c>
      <c r="C536" s="358" t="s">
        <v>4977</v>
      </c>
      <c r="D536" s="359">
        <v>29892.0</v>
      </c>
      <c r="E536" s="358">
        <v>3.47427704E8</v>
      </c>
      <c r="F536" s="358" t="s">
        <v>3853</v>
      </c>
      <c r="G536" s="358" t="s">
        <v>2848</v>
      </c>
      <c r="H536" s="358" t="s">
        <v>3854</v>
      </c>
      <c r="I536" s="362" t="s">
        <v>5039</v>
      </c>
      <c r="J536" s="358">
        <v>8.8044637E7</v>
      </c>
      <c r="K536" s="358" t="s">
        <v>5040</v>
      </c>
      <c r="L536" s="358" t="s">
        <v>5041</v>
      </c>
      <c r="M536" s="358" t="s">
        <v>1063</v>
      </c>
      <c r="N536" s="358" t="s">
        <v>5042</v>
      </c>
      <c r="O536" s="358" t="s">
        <v>1916</v>
      </c>
    </row>
    <row r="537">
      <c r="A537" s="358" t="s">
        <v>5043</v>
      </c>
      <c r="B537" s="358">
        <v>653.0</v>
      </c>
      <c r="C537" s="358" t="s">
        <v>3337</v>
      </c>
      <c r="D537" s="359">
        <v>30613.0</v>
      </c>
      <c r="E537" s="358">
        <v>2.94850879E8</v>
      </c>
      <c r="F537" s="358" t="s">
        <v>5044</v>
      </c>
      <c r="G537" s="358" t="s">
        <v>2168</v>
      </c>
      <c r="H537" s="358" t="s">
        <v>5045</v>
      </c>
      <c r="I537" s="362" t="s">
        <v>5046</v>
      </c>
      <c r="J537" s="358">
        <v>8.921697E7</v>
      </c>
      <c r="K537" s="358" t="s">
        <v>5047</v>
      </c>
      <c r="L537" s="358" t="s">
        <v>5048</v>
      </c>
      <c r="M537" s="358" t="s">
        <v>1063</v>
      </c>
      <c r="N537" s="358" t="s">
        <v>5049</v>
      </c>
      <c r="O537" s="358" t="s">
        <v>5050</v>
      </c>
    </row>
    <row r="538">
      <c r="A538" s="358" t="s">
        <v>5051</v>
      </c>
      <c r="B538" s="358">
        <v>1312.0</v>
      </c>
      <c r="C538" s="358" t="s">
        <v>5052</v>
      </c>
      <c r="D538" s="359">
        <v>29667.0</v>
      </c>
      <c r="E538" s="358">
        <v>6.61825942E8</v>
      </c>
      <c r="F538" s="358" t="s">
        <v>5053</v>
      </c>
      <c r="G538" s="360" t="s">
        <v>1058</v>
      </c>
      <c r="H538" s="358" t="s">
        <v>5054</v>
      </c>
      <c r="I538" s="362" t="s">
        <v>5055</v>
      </c>
      <c r="J538" s="358">
        <v>8.5610305E7</v>
      </c>
      <c r="K538" s="358" t="s">
        <v>5056</v>
      </c>
      <c r="L538" s="358" t="s">
        <v>5057</v>
      </c>
      <c r="M538" s="358" t="s">
        <v>1063</v>
      </c>
      <c r="N538" s="358" t="s">
        <v>5058</v>
      </c>
      <c r="O538" s="358" t="s">
        <v>5059</v>
      </c>
    </row>
    <row r="539">
      <c r="A539" s="358" t="s">
        <v>5060</v>
      </c>
      <c r="B539" s="358">
        <v>1340.0</v>
      </c>
      <c r="C539" s="358" t="s">
        <v>3184</v>
      </c>
      <c r="D539" s="359">
        <v>29669.0</v>
      </c>
      <c r="E539" s="358">
        <v>2.64829335E8</v>
      </c>
      <c r="F539" s="358" t="s">
        <v>3798</v>
      </c>
      <c r="G539" s="358" t="s">
        <v>1380</v>
      </c>
      <c r="H539" s="358" t="s">
        <v>3799</v>
      </c>
      <c r="I539" s="361" t="s">
        <v>5061</v>
      </c>
      <c r="J539" s="358">
        <v>8.5448532E7</v>
      </c>
      <c r="K539" s="358" t="s">
        <v>1061</v>
      </c>
      <c r="L539" s="358" t="s">
        <v>5062</v>
      </c>
      <c r="M539" s="358" t="s">
        <v>1063</v>
      </c>
      <c r="N539" s="358" t="s">
        <v>5063</v>
      </c>
      <c r="O539" s="358" t="s">
        <v>3804</v>
      </c>
    </row>
    <row r="540">
      <c r="A540" s="358" t="s">
        <v>5064</v>
      </c>
      <c r="B540" s="358">
        <v>942.0</v>
      </c>
      <c r="C540" s="358" t="s">
        <v>2325</v>
      </c>
      <c r="D540" s="359">
        <v>29208.0</v>
      </c>
      <c r="E540" s="358">
        <v>2.64594356E8</v>
      </c>
      <c r="F540" s="358" t="s">
        <v>2326</v>
      </c>
      <c r="G540" s="358" t="s">
        <v>2327</v>
      </c>
      <c r="H540" s="358" t="s">
        <v>2328</v>
      </c>
      <c r="I540" s="362" t="s">
        <v>4336</v>
      </c>
      <c r="J540" s="358">
        <v>7.7606787E7</v>
      </c>
      <c r="K540" s="358" t="s">
        <v>5065</v>
      </c>
      <c r="L540" s="358" t="s">
        <v>5066</v>
      </c>
      <c r="M540" s="358" t="s">
        <v>1063</v>
      </c>
      <c r="N540" s="358" t="s">
        <v>5067</v>
      </c>
      <c r="O540" s="358" t="s">
        <v>2330</v>
      </c>
    </row>
    <row r="541">
      <c r="A541" s="358" t="s">
        <v>5068</v>
      </c>
      <c r="B541" s="358">
        <v>362.0</v>
      </c>
      <c r="C541" s="358" t="s">
        <v>5069</v>
      </c>
      <c r="D541" s="359">
        <v>29058.0</v>
      </c>
      <c r="E541" s="358">
        <v>2.64081869E8</v>
      </c>
      <c r="F541" s="358" t="s">
        <v>4706</v>
      </c>
      <c r="G541" s="358" t="s">
        <v>2168</v>
      </c>
      <c r="H541" s="358" t="s">
        <v>4707</v>
      </c>
      <c r="I541" s="362" t="s">
        <v>5070</v>
      </c>
      <c r="J541" s="358">
        <v>6.7052738E7</v>
      </c>
      <c r="K541" s="358" t="s">
        <v>5071</v>
      </c>
      <c r="L541" s="358" t="s">
        <v>5072</v>
      </c>
      <c r="M541" s="358" t="s">
        <v>1063</v>
      </c>
      <c r="N541" s="358" t="s">
        <v>5073</v>
      </c>
      <c r="O541" s="358" t="s">
        <v>5074</v>
      </c>
    </row>
    <row r="542">
      <c r="A542" s="358" t="s">
        <v>5075</v>
      </c>
      <c r="B542" s="358">
        <v>1050.0</v>
      </c>
      <c r="C542" s="358" t="s">
        <v>5076</v>
      </c>
      <c r="D542" s="359">
        <v>31289.0</v>
      </c>
      <c r="E542" s="358">
        <v>4.74698191E8</v>
      </c>
      <c r="F542" s="358" t="s">
        <v>3440</v>
      </c>
      <c r="G542" s="360" t="s">
        <v>1058</v>
      </c>
      <c r="H542" s="358" t="s">
        <v>4423</v>
      </c>
      <c r="I542" s="362" t="s">
        <v>5077</v>
      </c>
      <c r="J542" s="358">
        <v>8.0636551E7</v>
      </c>
      <c r="K542" s="358" t="s">
        <v>5078</v>
      </c>
      <c r="L542" s="358" t="s">
        <v>5079</v>
      </c>
      <c r="M542" s="358" t="s">
        <v>1063</v>
      </c>
      <c r="N542" s="358" t="s">
        <v>5080</v>
      </c>
      <c r="O542" s="358" t="s">
        <v>2216</v>
      </c>
    </row>
    <row r="543">
      <c r="A543" s="358" t="s">
        <v>5081</v>
      </c>
      <c r="B543" s="358">
        <v>1608.0</v>
      </c>
      <c r="C543" s="358" t="s">
        <v>1146</v>
      </c>
      <c r="D543" s="359">
        <v>25518.0</v>
      </c>
      <c r="E543" s="358">
        <v>2.55501377E8</v>
      </c>
      <c r="F543" s="358" t="s">
        <v>5082</v>
      </c>
      <c r="G543" s="358" t="s">
        <v>5083</v>
      </c>
      <c r="H543" s="358">
        <v>4230.0</v>
      </c>
      <c r="I543" s="361" t="s">
        <v>5084</v>
      </c>
      <c r="J543" s="358">
        <v>2.08463792E8</v>
      </c>
      <c r="K543" s="358" t="s">
        <v>1061</v>
      </c>
      <c r="L543" s="358" t="s">
        <v>5085</v>
      </c>
      <c r="M543" s="358" t="s">
        <v>1151</v>
      </c>
      <c r="N543" s="358" t="s">
        <v>5086</v>
      </c>
      <c r="O543" s="358" t="s">
        <v>1153</v>
      </c>
    </row>
    <row r="544">
      <c r="A544" s="358" t="s">
        <v>5087</v>
      </c>
      <c r="B544" s="358">
        <v>1393.0</v>
      </c>
      <c r="C544" s="358" t="s">
        <v>1448</v>
      </c>
      <c r="D544" s="359">
        <v>22107.0</v>
      </c>
      <c r="E544" s="358">
        <v>1.26248175E8</v>
      </c>
      <c r="F544" s="358" t="s">
        <v>5088</v>
      </c>
      <c r="G544" s="358" t="s">
        <v>5089</v>
      </c>
      <c r="H544" s="358">
        <v>9002.0</v>
      </c>
      <c r="I544" s="361" t="s">
        <v>5090</v>
      </c>
      <c r="J544" s="358" t="s">
        <v>5091</v>
      </c>
      <c r="K544" s="358" t="s">
        <v>5092</v>
      </c>
      <c r="L544" s="358" t="s">
        <v>5091</v>
      </c>
      <c r="M544" s="358" t="s">
        <v>1063</v>
      </c>
      <c r="N544" s="358" t="s">
        <v>5093</v>
      </c>
      <c r="O544" s="358" t="s">
        <v>1454</v>
      </c>
    </row>
    <row r="545">
      <c r="A545" s="329" t="s">
        <v>5094</v>
      </c>
      <c r="C545" s="329" t="s">
        <v>5095</v>
      </c>
      <c r="D545" s="365">
        <v>36161.0</v>
      </c>
      <c r="F545" s="329" t="s">
        <v>5096</v>
      </c>
      <c r="G545" s="329" t="s">
        <v>5097</v>
      </c>
      <c r="H545" s="329">
        <v>23234.0</v>
      </c>
      <c r="I545" s="333" t="s">
        <v>5098</v>
      </c>
      <c r="K545" s="358" t="s">
        <v>5099</v>
      </c>
      <c r="L545" s="358" t="s">
        <v>5100</v>
      </c>
      <c r="M545" s="329" t="s">
        <v>1063</v>
      </c>
    </row>
    <row r="546">
      <c r="A546" s="358" t="s">
        <v>5101</v>
      </c>
      <c r="B546" s="358">
        <v>1637.0</v>
      </c>
      <c r="C546" s="358" t="s">
        <v>1199</v>
      </c>
      <c r="D546" s="359">
        <v>24815.0</v>
      </c>
      <c r="E546" s="358">
        <v>6.712094548E9</v>
      </c>
      <c r="F546" s="358" t="s">
        <v>5102</v>
      </c>
      <c r="G546" s="358" t="s">
        <v>5103</v>
      </c>
      <c r="H546" s="358">
        <v>4230.0</v>
      </c>
      <c r="I546" s="361" t="s">
        <v>5104</v>
      </c>
      <c r="J546" s="358">
        <v>2.07898667E8</v>
      </c>
      <c r="K546" s="358" t="s">
        <v>5105</v>
      </c>
      <c r="L546" s="358" t="s">
        <v>5106</v>
      </c>
      <c r="M546" s="358" t="s">
        <v>1063</v>
      </c>
      <c r="N546" s="358" t="s">
        <v>5107</v>
      </c>
      <c r="O546" s="358" t="s">
        <v>5108</v>
      </c>
    </row>
    <row r="547">
      <c r="A547" s="329" t="s">
        <v>5109</v>
      </c>
      <c r="B547" s="329">
        <v>2304.0</v>
      </c>
      <c r="C547" s="329" t="s">
        <v>2629</v>
      </c>
      <c r="D547" s="366">
        <v>30033.0</v>
      </c>
      <c r="F547" s="367" t="s">
        <v>5110</v>
      </c>
      <c r="G547" s="329" t="s">
        <v>5111</v>
      </c>
      <c r="I547" s="1">
        <f>359899705392</f>
        <v>359899705392</v>
      </c>
      <c r="L547" s="329" t="s">
        <v>5112</v>
      </c>
      <c r="M547" s="329" t="s">
        <v>5113</v>
      </c>
      <c r="N547" s="368" t="s">
        <v>143</v>
      </c>
    </row>
    <row r="548">
      <c r="D548" s="366"/>
      <c r="F548" s="367"/>
    </row>
    <row r="549">
      <c r="I549" s="111"/>
    </row>
    <row r="550">
      <c r="I550" s="111"/>
    </row>
    <row r="551">
      <c r="I551" s="111"/>
    </row>
    <row r="552">
      <c r="I552" s="111"/>
    </row>
    <row r="553">
      <c r="I553" s="111"/>
    </row>
    <row r="554">
      <c r="I554" s="111"/>
    </row>
    <row r="555">
      <c r="I555" s="111"/>
    </row>
    <row r="556">
      <c r="I556" s="111"/>
    </row>
    <row r="557">
      <c r="I557" s="111"/>
    </row>
    <row r="558">
      <c r="I558" s="111"/>
    </row>
    <row r="559">
      <c r="I559" s="111"/>
    </row>
    <row r="560">
      <c r="I560" s="111"/>
    </row>
    <row r="561">
      <c r="I561" s="111"/>
    </row>
    <row r="562">
      <c r="I562" s="111"/>
    </row>
    <row r="563">
      <c r="I563" s="111"/>
    </row>
    <row r="564">
      <c r="I564" s="111"/>
    </row>
    <row r="565">
      <c r="I565" s="111"/>
    </row>
    <row r="566">
      <c r="I566" s="111"/>
    </row>
    <row r="567">
      <c r="I567" s="111"/>
    </row>
    <row r="568">
      <c r="I568" s="111"/>
    </row>
    <row r="569">
      <c r="I569" s="111"/>
    </row>
    <row r="570">
      <c r="I570" s="111"/>
    </row>
    <row r="571">
      <c r="I571" s="111"/>
    </row>
    <row r="572">
      <c r="I572" s="111"/>
    </row>
    <row r="573">
      <c r="I573" s="111"/>
    </row>
    <row r="574">
      <c r="I574" s="111"/>
    </row>
    <row r="575">
      <c r="I575" s="111"/>
    </row>
    <row r="576">
      <c r="I576" s="111"/>
    </row>
    <row r="577">
      <c r="I577" s="111"/>
    </row>
    <row r="578">
      <c r="I578" s="111"/>
    </row>
    <row r="579">
      <c r="I579" s="111"/>
    </row>
    <row r="580">
      <c r="I580" s="111"/>
    </row>
    <row r="581">
      <c r="I581" s="111"/>
    </row>
    <row r="582">
      <c r="I582" s="111"/>
    </row>
    <row r="583">
      <c r="I583" s="111"/>
    </row>
    <row r="584">
      <c r="I584" s="111"/>
    </row>
    <row r="585">
      <c r="I585" s="111"/>
    </row>
    <row r="586">
      <c r="I586" s="111"/>
    </row>
    <row r="587">
      <c r="I587" s="111"/>
    </row>
    <row r="588">
      <c r="I588" s="111"/>
    </row>
    <row r="589">
      <c r="I589" s="111"/>
    </row>
    <row r="590">
      <c r="I590" s="111"/>
    </row>
    <row r="591">
      <c r="I591" s="111"/>
    </row>
    <row r="592">
      <c r="I592" s="111"/>
    </row>
    <row r="593">
      <c r="I593" s="111"/>
    </row>
    <row r="594">
      <c r="I594" s="111"/>
    </row>
    <row r="595">
      <c r="I595" s="111"/>
    </row>
    <row r="596">
      <c r="I596" s="111"/>
    </row>
    <row r="597">
      <c r="I597" s="111"/>
    </row>
    <row r="598">
      <c r="I598" s="111"/>
    </row>
    <row r="599">
      <c r="I599" s="111"/>
    </row>
    <row r="600">
      <c r="I600" s="111"/>
    </row>
    <row r="601">
      <c r="I601" s="111"/>
    </row>
    <row r="602">
      <c r="I602" s="111"/>
    </row>
    <row r="603">
      <c r="I603" s="111"/>
    </row>
    <row r="604">
      <c r="I604" s="111"/>
    </row>
    <row r="605">
      <c r="I605" s="111"/>
    </row>
    <row r="606">
      <c r="I606" s="111"/>
    </row>
    <row r="607">
      <c r="I607" s="111"/>
    </row>
    <row r="608">
      <c r="I608" s="111"/>
    </row>
    <row r="609">
      <c r="I609" s="111"/>
    </row>
    <row r="610">
      <c r="I610" s="111"/>
    </row>
    <row r="611">
      <c r="I611" s="111"/>
    </row>
    <row r="612">
      <c r="I612" s="111"/>
    </row>
    <row r="613">
      <c r="I613" s="111"/>
    </row>
    <row r="614">
      <c r="I614" s="111"/>
    </row>
    <row r="615">
      <c r="I615" s="111"/>
    </row>
    <row r="616">
      <c r="I616" s="111"/>
    </row>
    <row r="617">
      <c r="I617" s="111"/>
    </row>
    <row r="618">
      <c r="I618" s="111"/>
    </row>
    <row r="619">
      <c r="I619" s="111"/>
    </row>
    <row r="620">
      <c r="I620" s="111"/>
    </row>
    <row r="621">
      <c r="I621" s="111"/>
    </row>
    <row r="622">
      <c r="I622" s="111"/>
    </row>
    <row r="623">
      <c r="I623" s="111"/>
    </row>
    <row r="624">
      <c r="I624" s="111"/>
    </row>
    <row r="625">
      <c r="I625" s="111"/>
    </row>
    <row r="626">
      <c r="I626" s="111"/>
    </row>
    <row r="627">
      <c r="I627" s="111"/>
    </row>
    <row r="628">
      <c r="I628" s="111"/>
    </row>
    <row r="629">
      <c r="I629" s="111"/>
    </row>
    <row r="630">
      <c r="I630" s="111"/>
    </row>
    <row r="631">
      <c r="I631" s="111"/>
    </row>
    <row r="632">
      <c r="I632" s="111"/>
    </row>
    <row r="633">
      <c r="I633" s="111"/>
    </row>
    <row r="634">
      <c r="I634" s="111"/>
    </row>
    <row r="635">
      <c r="I635" s="111"/>
    </row>
    <row r="636">
      <c r="I636" s="111"/>
    </row>
    <row r="637">
      <c r="I637" s="111"/>
    </row>
    <row r="638">
      <c r="I638" s="111"/>
    </row>
    <row r="639">
      <c r="I639" s="111"/>
    </row>
    <row r="640">
      <c r="I640" s="111"/>
    </row>
    <row r="641">
      <c r="I641" s="111"/>
    </row>
    <row r="642">
      <c r="I642" s="111"/>
    </row>
    <row r="643">
      <c r="I643" s="111"/>
    </row>
    <row r="644">
      <c r="I644" s="111"/>
    </row>
    <row r="645">
      <c r="I645" s="111"/>
    </row>
    <row r="646">
      <c r="I646" s="111"/>
    </row>
    <row r="647">
      <c r="I647" s="111"/>
    </row>
    <row r="648">
      <c r="I648" s="111"/>
    </row>
    <row r="649">
      <c r="I649" s="111"/>
    </row>
    <row r="650">
      <c r="I650" s="111"/>
    </row>
    <row r="651">
      <c r="I651" s="111"/>
    </row>
    <row r="652">
      <c r="I652" s="111"/>
    </row>
    <row r="653">
      <c r="I653" s="111"/>
    </row>
    <row r="654">
      <c r="I654" s="111"/>
    </row>
    <row r="655">
      <c r="I655" s="111"/>
    </row>
    <row r="656">
      <c r="I656" s="111"/>
    </row>
    <row r="657">
      <c r="I657" s="111"/>
    </row>
    <row r="658">
      <c r="I658" s="111"/>
    </row>
    <row r="659">
      <c r="I659" s="111"/>
    </row>
    <row r="660">
      <c r="I660" s="111"/>
    </row>
    <row r="661">
      <c r="I661" s="111"/>
    </row>
    <row r="662">
      <c r="I662" s="111"/>
    </row>
    <row r="663">
      <c r="I663" s="111"/>
    </row>
    <row r="664">
      <c r="I664" s="111"/>
    </row>
    <row r="665">
      <c r="I665" s="111"/>
    </row>
    <row r="666">
      <c r="I666" s="111"/>
    </row>
    <row r="667">
      <c r="I667" s="111"/>
    </row>
    <row r="668">
      <c r="I668" s="111"/>
    </row>
    <row r="669">
      <c r="I669" s="111"/>
    </row>
    <row r="670">
      <c r="I670" s="111"/>
    </row>
    <row r="671">
      <c r="I671" s="111"/>
    </row>
    <row r="672">
      <c r="I672" s="111"/>
    </row>
    <row r="673">
      <c r="I673" s="111"/>
    </row>
    <row r="674">
      <c r="I674" s="111"/>
    </row>
    <row r="675">
      <c r="I675" s="111"/>
    </row>
    <row r="676">
      <c r="I676" s="111"/>
    </row>
    <row r="677">
      <c r="I677" s="111"/>
    </row>
    <row r="678">
      <c r="I678" s="111"/>
    </row>
    <row r="679">
      <c r="I679" s="111"/>
    </row>
    <row r="680">
      <c r="I680" s="111"/>
    </row>
    <row r="681">
      <c r="I681" s="111"/>
    </row>
    <row r="682">
      <c r="I682" s="111"/>
    </row>
    <row r="683">
      <c r="I683" s="111"/>
    </row>
    <row r="684">
      <c r="I684" s="111"/>
    </row>
    <row r="685">
      <c r="I685" s="111"/>
    </row>
    <row r="686">
      <c r="I686" s="111"/>
    </row>
    <row r="687">
      <c r="I687" s="111"/>
    </row>
    <row r="688">
      <c r="I688" s="111"/>
    </row>
    <row r="689">
      <c r="I689" s="111"/>
    </row>
    <row r="690">
      <c r="I690" s="111"/>
    </row>
    <row r="691">
      <c r="I691" s="111"/>
    </row>
    <row r="692">
      <c r="I692" s="111"/>
    </row>
    <row r="693">
      <c r="I693" s="111"/>
    </row>
    <row r="694">
      <c r="I694" s="111"/>
    </row>
    <row r="695">
      <c r="I695" s="111"/>
    </row>
    <row r="696">
      <c r="I696" s="111"/>
    </row>
    <row r="697">
      <c r="I697" s="111"/>
    </row>
    <row r="698">
      <c r="I698" s="111"/>
    </row>
    <row r="699">
      <c r="I699" s="111"/>
    </row>
    <row r="700">
      <c r="I700" s="111"/>
    </row>
    <row r="701">
      <c r="I701" s="111"/>
    </row>
    <row r="702">
      <c r="I702" s="111"/>
    </row>
    <row r="703">
      <c r="I703" s="111"/>
    </row>
    <row r="704">
      <c r="I704" s="111"/>
    </row>
    <row r="705">
      <c r="I705" s="111"/>
    </row>
    <row r="706">
      <c r="I706" s="111"/>
    </row>
    <row r="707">
      <c r="I707" s="111"/>
    </row>
    <row r="708">
      <c r="I708" s="111"/>
    </row>
    <row r="709">
      <c r="I709" s="111"/>
    </row>
    <row r="710">
      <c r="I710" s="111"/>
    </row>
    <row r="711">
      <c r="I711" s="111"/>
    </row>
    <row r="712">
      <c r="I712" s="111"/>
    </row>
    <row r="713">
      <c r="I713" s="111"/>
    </row>
    <row r="714">
      <c r="I714" s="111"/>
    </row>
    <row r="715">
      <c r="I715" s="111"/>
    </row>
    <row r="716">
      <c r="I716" s="111"/>
    </row>
    <row r="717">
      <c r="I717" s="111"/>
    </row>
    <row r="718">
      <c r="I718" s="111"/>
    </row>
    <row r="719">
      <c r="I719" s="111"/>
    </row>
    <row r="720">
      <c r="I720" s="111"/>
    </row>
    <row r="721">
      <c r="I721" s="111"/>
    </row>
    <row r="722">
      <c r="I722" s="111"/>
    </row>
    <row r="723">
      <c r="I723" s="111"/>
    </row>
    <row r="724">
      <c r="I724" s="111"/>
    </row>
    <row r="725">
      <c r="I725" s="111"/>
    </row>
    <row r="726">
      <c r="I726" s="111"/>
    </row>
    <row r="727">
      <c r="I727" s="111"/>
    </row>
    <row r="728">
      <c r="I728" s="111"/>
    </row>
    <row r="729">
      <c r="I729" s="111"/>
    </row>
    <row r="730">
      <c r="I730" s="111"/>
    </row>
    <row r="731">
      <c r="I731" s="111"/>
    </row>
    <row r="732">
      <c r="I732" s="111"/>
    </row>
    <row r="733">
      <c r="I733" s="111"/>
    </row>
    <row r="734">
      <c r="I734" s="111"/>
    </row>
    <row r="735">
      <c r="I735" s="111"/>
    </row>
    <row r="736">
      <c r="I736" s="111"/>
    </row>
    <row r="737">
      <c r="I737" s="111"/>
    </row>
    <row r="738">
      <c r="I738" s="111"/>
    </row>
    <row r="739">
      <c r="I739" s="111"/>
    </row>
    <row r="740">
      <c r="I740" s="111"/>
    </row>
    <row r="741">
      <c r="I741" s="111"/>
    </row>
    <row r="742">
      <c r="I742" s="111"/>
    </row>
    <row r="743">
      <c r="I743" s="111"/>
    </row>
    <row r="744">
      <c r="I744" s="111"/>
    </row>
    <row r="745">
      <c r="I745" s="111"/>
    </row>
    <row r="746">
      <c r="I746" s="111"/>
    </row>
    <row r="747">
      <c r="I747" s="111"/>
    </row>
    <row r="748">
      <c r="I748" s="111"/>
    </row>
    <row r="749">
      <c r="I749" s="111"/>
    </row>
    <row r="750">
      <c r="I750" s="111"/>
    </row>
    <row r="751">
      <c r="I751" s="111"/>
    </row>
    <row r="752">
      <c r="I752" s="111"/>
    </row>
    <row r="753">
      <c r="I753" s="111"/>
    </row>
    <row r="754">
      <c r="I754" s="111"/>
    </row>
    <row r="755">
      <c r="I755" s="111"/>
    </row>
    <row r="756">
      <c r="I756" s="111"/>
    </row>
    <row r="757">
      <c r="I757" s="111"/>
    </row>
    <row r="758">
      <c r="I758" s="111"/>
    </row>
    <row r="759">
      <c r="I759" s="111"/>
    </row>
    <row r="760">
      <c r="I760" s="111"/>
    </row>
    <row r="761">
      <c r="I761" s="111"/>
    </row>
    <row r="762">
      <c r="I762" s="111"/>
    </row>
    <row r="763">
      <c r="I763" s="111"/>
    </row>
    <row r="764">
      <c r="I764" s="111"/>
    </row>
    <row r="765">
      <c r="I765" s="111"/>
    </row>
    <row r="766">
      <c r="I766" s="111"/>
    </row>
    <row r="767">
      <c r="I767" s="111"/>
    </row>
    <row r="768">
      <c r="I768" s="111"/>
    </row>
    <row r="769">
      <c r="I769" s="111"/>
    </row>
    <row r="770">
      <c r="I770" s="111"/>
    </row>
    <row r="771">
      <c r="I771" s="111"/>
    </row>
    <row r="772">
      <c r="I772" s="111"/>
    </row>
    <row r="773">
      <c r="I773" s="111"/>
    </row>
    <row r="774">
      <c r="I774" s="111"/>
    </row>
    <row r="775">
      <c r="I775" s="111"/>
    </row>
    <row r="776">
      <c r="I776" s="111"/>
    </row>
    <row r="777">
      <c r="I777" s="111"/>
    </row>
    <row r="778">
      <c r="I778" s="111"/>
    </row>
    <row r="779">
      <c r="I779" s="111"/>
    </row>
    <row r="780">
      <c r="I780" s="111"/>
    </row>
    <row r="781">
      <c r="I781" s="111"/>
    </row>
    <row r="782">
      <c r="I782" s="111"/>
    </row>
    <row r="783">
      <c r="I783" s="111"/>
    </row>
    <row r="784">
      <c r="I784" s="111"/>
    </row>
    <row r="785">
      <c r="I785" s="111"/>
    </row>
    <row r="786">
      <c r="I786" s="111"/>
    </row>
    <row r="787">
      <c r="I787" s="111"/>
    </row>
    <row r="788">
      <c r="I788" s="111"/>
    </row>
    <row r="789">
      <c r="I789" s="111"/>
    </row>
    <row r="790">
      <c r="I790" s="111"/>
    </row>
    <row r="791">
      <c r="I791" s="111"/>
    </row>
    <row r="792">
      <c r="I792" s="111"/>
    </row>
    <row r="793">
      <c r="I793" s="111"/>
    </row>
    <row r="794">
      <c r="I794" s="111"/>
    </row>
    <row r="795">
      <c r="I795" s="111"/>
    </row>
    <row r="796">
      <c r="I796" s="111"/>
    </row>
    <row r="797">
      <c r="I797" s="111"/>
    </row>
    <row r="798">
      <c r="I798" s="111"/>
    </row>
    <row r="799">
      <c r="I799" s="111"/>
    </row>
    <row r="800">
      <c r="I800" s="111"/>
    </row>
    <row r="801">
      <c r="I801" s="111"/>
    </row>
    <row r="802">
      <c r="I802" s="111"/>
    </row>
    <row r="803">
      <c r="I803" s="111"/>
    </row>
    <row r="804">
      <c r="I804" s="111"/>
    </row>
    <row r="805">
      <c r="I805" s="111"/>
    </row>
    <row r="806">
      <c r="I806" s="111"/>
    </row>
    <row r="807">
      <c r="I807" s="111"/>
    </row>
    <row r="808">
      <c r="I808" s="111"/>
    </row>
    <row r="809">
      <c r="I809" s="111"/>
    </row>
    <row r="810">
      <c r="I810" s="111"/>
    </row>
    <row r="811">
      <c r="I811" s="111"/>
    </row>
    <row r="812">
      <c r="I812" s="111"/>
    </row>
    <row r="813">
      <c r="I813" s="111"/>
    </row>
    <row r="814">
      <c r="I814" s="111"/>
    </row>
    <row r="815">
      <c r="I815" s="111"/>
    </row>
    <row r="816">
      <c r="I816" s="111"/>
    </row>
    <row r="817">
      <c r="I817" s="111"/>
    </row>
    <row r="818">
      <c r="I818" s="111"/>
    </row>
    <row r="819">
      <c r="I819" s="111"/>
    </row>
    <row r="820">
      <c r="I820" s="111"/>
    </row>
    <row r="821">
      <c r="I821" s="111"/>
    </row>
    <row r="822">
      <c r="I822" s="111"/>
    </row>
    <row r="823">
      <c r="I823" s="111"/>
    </row>
    <row r="824">
      <c r="I824" s="111"/>
    </row>
    <row r="825">
      <c r="I825" s="111"/>
    </row>
    <row r="826">
      <c r="I826" s="111"/>
    </row>
    <row r="827">
      <c r="I827" s="111"/>
    </row>
    <row r="828">
      <c r="I828" s="111"/>
    </row>
    <row r="829">
      <c r="I829" s="111"/>
    </row>
    <row r="830">
      <c r="I830" s="111"/>
    </row>
    <row r="831">
      <c r="I831" s="111"/>
    </row>
    <row r="832">
      <c r="I832" s="111"/>
    </row>
    <row r="833">
      <c r="I833" s="111"/>
    </row>
    <row r="834">
      <c r="I834" s="111"/>
    </row>
    <row r="835">
      <c r="I835" s="111"/>
    </row>
    <row r="836">
      <c r="I836" s="111"/>
    </row>
    <row r="837">
      <c r="I837" s="111"/>
    </row>
    <row r="838">
      <c r="I838" s="111"/>
    </row>
    <row r="839">
      <c r="I839" s="111"/>
    </row>
    <row r="840">
      <c r="I840" s="111"/>
    </row>
    <row r="841">
      <c r="I841" s="111"/>
    </row>
    <row r="842">
      <c r="I842" s="111"/>
    </row>
    <row r="843">
      <c r="I843" s="111"/>
    </row>
    <row r="844">
      <c r="I844" s="111"/>
    </row>
    <row r="845">
      <c r="I845" s="111"/>
    </row>
    <row r="846">
      <c r="I846" s="111"/>
    </row>
    <row r="847">
      <c r="I847" s="111"/>
    </row>
    <row r="848">
      <c r="I848" s="111"/>
    </row>
    <row r="849">
      <c r="I849" s="111"/>
    </row>
    <row r="850">
      <c r="I850" s="111"/>
    </row>
    <row r="851">
      <c r="I851" s="111"/>
    </row>
    <row r="852">
      <c r="I852" s="111"/>
    </row>
    <row r="853">
      <c r="I853" s="111"/>
    </row>
    <row r="854">
      <c r="I854" s="111"/>
    </row>
    <row r="855">
      <c r="I855" s="111"/>
    </row>
    <row r="856">
      <c r="I856" s="111"/>
    </row>
    <row r="857">
      <c r="I857" s="111"/>
    </row>
    <row r="858">
      <c r="I858" s="111"/>
    </row>
    <row r="859">
      <c r="I859" s="111"/>
    </row>
    <row r="860">
      <c r="I860" s="111"/>
    </row>
    <row r="861">
      <c r="I861" s="111"/>
    </row>
    <row r="862">
      <c r="I862" s="111"/>
    </row>
    <row r="863">
      <c r="I863" s="111"/>
    </row>
    <row r="864">
      <c r="I864" s="111"/>
    </row>
    <row r="865">
      <c r="I865" s="111"/>
    </row>
    <row r="866">
      <c r="I866" s="111"/>
    </row>
    <row r="867">
      <c r="I867" s="111"/>
    </row>
    <row r="868">
      <c r="I868" s="111"/>
    </row>
    <row r="869">
      <c r="I869" s="111"/>
    </row>
    <row r="870">
      <c r="I870" s="111"/>
    </row>
    <row r="871">
      <c r="I871" s="111"/>
    </row>
    <row r="872">
      <c r="I872" s="111"/>
    </row>
    <row r="873">
      <c r="I873" s="111"/>
    </row>
    <row r="874">
      <c r="I874" s="111"/>
    </row>
    <row r="875">
      <c r="I875" s="111"/>
    </row>
    <row r="876">
      <c r="I876" s="111"/>
    </row>
    <row r="877">
      <c r="I877" s="111"/>
    </row>
    <row r="878">
      <c r="I878" s="111"/>
    </row>
    <row r="879">
      <c r="I879" s="111"/>
    </row>
    <row r="880">
      <c r="I880" s="111"/>
    </row>
    <row r="881">
      <c r="I881" s="111"/>
    </row>
    <row r="882">
      <c r="I882" s="111"/>
    </row>
    <row r="883">
      <c r="I883" s="111"/>
    </row>
    <row r="884">
      <c r="I884" s="111"/>
    </row>
    <row r="885">
      <c r="I885" s="111"/>
    </row>
    <row r="886">
      <c r="I886" s="111"/>
    </row>
    <row r="887">
      <c r="I887" s="111"/>
    </row>
    <row r="888">
      <c r="I888" s="111"/>
    </row>
    <row r="889">
      <c r="I889" s="111"/>
    </row>
    <row r="890">
      <c r="I890" s="111"/>
    </row>
    <row r="891">
      <c r="I891" s="111"/>
    </row>
    <row r="892">
      <c r="I892" s="111"/>
    </row>
    <row r="893">
      <c r="I893" s="111"/>
    </row>
    <row r="894">
      <c r="I894" s="111"/>
    </row>
    <row r="895">
      <c r="I895" s="111"/>
    </row>
    <row r="896">
      <c r="I896" s="111"/>
    </row>
    <row r="897">
      <c r="I897" s="111"/>
    </row>
    <row r="898">
      <c r="I898" s="111"/>
    </row>
    <row r="899">
      <c r="I899" s="111"/>
    </row>
    <row r="900">
      <c r="I900" s="111"/>
    </row>
    <row r="901">
      <c r="I901" s="111"/>
    </row>
    <row r="902">
      <c r="I902" s="111"/>
    </row>
    <row r="903">
      <c r="I903" s="111"/>
    </row>
    <row r="904">
      <c r="I904" s="111"/>
    </row>
    <row r="905">
      <c r="I905" s="111"/>
    </row>
    <row r="906">
      <c r="I906" s="111"/>
    </row>
    <row r="907">
      <c r="I907" s="111"/>
    </row>
    <row r="908">
      <c r="I908" s="111"/>
    </row>
    <row r="909">
      <c r="I909" s="111"/>
    </row>
    <row r="910">
      <c r="I910" s="111"/>
    </row>
    <row r="911">
      <c r="I911" s="111"/>
    </row>
    <row r="912">
      <c r="I912" s="111"/>
    </row>
    <row r="913">
      <c r="I913" s="111"/>
    </row>
    <row r="914">
      <c r="I914" s="111"/>
    </row>
    <row r="915">
      <c r="I915" s="111"/>
    </row>
    <row r="916">
      <c r="I916" s="111"/>
    </row>
    <row r="917">
      <c r="I917" s="111"/>
    </row>
    <row r="918">
      <c r="I918" s="111"/>
    </row>
    <row r="919">
      <c r="I919" s="111"/>
    </row>
    <row r="920">
      <c r="I920" s="111"/>
    </row>
    <row r="921">
      <c r="I921" s="111"/>
    </row>
    <row r="922">
      <c r="I922" s="111"/>
    </row>
    <row r="923">
      <c r="I923" s="111"/>
    </row>
    <row r="924">
      <c r="I924" s="111"/>
    </row>
    <row r="925">
      <c r="I925" s="111"/>
    </row>
    <row r="926">
      <c r="I926" s="111"/>
    </row>
    <row r="927">
      <c r="I927" s="111"/>
    </row>
    <row r="928">
      <c r="I928" s="111"/>
    </row>
    <row r="929">
      <c r="I929" s="111"/>
    </row>
    <row r="930">
      <c r="I930" s="111"/>
    </row>
    <row r="931">
      <c r="I931" s="111"/>
    </row>
    <row r="932">
      <c r="I932" s="111"/>
    </row>
    <row r="933">
      <c r="I933" s="111"/>
    </row>
    <row r="934">
      <c r="I934" s="111"/>
    </row>
    <row r="935">
      <c r="I935" s="111"/>
    </row>
    <row r="936">
      <c r="I936" s="111"/>
    </row>
    <row r="937">
      <c r="I937" s="111"/>
    </row>
    <row r="938">
      <c r="I938" s="111"/>
    </row>
    <row r="939">
      <c r="I939" s="111"/>
    </row>
    <row r="940">
      <c r="I940" s="111"/>
    </row>
    <row r="941">
      <c r="I941" s="111"/>
    </row>
    <row r="942">
      <c r="I942" s="111"/>
    </row>
    <row r="943">
      <c r="I943" s="111"/>
    </row>
    <row r="944">
      <c r="I944" s="111"/>
    </row>
    <row r="945">
      <c r="I945" s="111"/>
    </row>
    <row r="946">
      <c r="I946" s="111"/>
    </row>
    <row r="947">
      <c r="I947" s="111"/>
    </row>
    <row r="948">
      <c r="I948" s="111"/>
    </row>
    <row r="949">
      <c r="I949" s="111"/>
    </row>
    <row r="950">
      <c r="I950" s="111"/>
    </row>
    <row r="951">
      <c r="I951" s="111"/>
    </row>
    <row r="952">
      <c r="I952" s="111"/>
    </row>
    <row r="953">
      <c r="I953" s="111"/>
    </row>
    <row r="954">
      <c r="I954" s="111"/>
    </row>
    <row r="955">
      <c r="I955" s="111"/>
    </row>
    <row r="956">
      <c r="I956" s="111"/>
    </row>
    <row r="957">
      <c r="I957" s="111"/>
    </row>
    <row r="958">
      <c r="I958" s="111"/>
    </row>
    <row r="959">
      <c r="I959" s="111"/>
    </row>
    <row r="960">
      <c r="I960" s="111"/>
    </row>
    <row r="961">
      <c r="I961" s="111"/>
    </row>
    <row r="962">
      <c r="I962" s="111"/>
    </row>
    <row r="963">
      <c r="I963" s="111"/>
    </row>
    <row r="964">
      <c r="I964" s="111"/>
    </row>
    <row r="965">
      <c r="I965" s="111"/>
    </row>
    <row r="966">
      <c r="I966" s="111"/>
    </row>
    <row r="967">
      <c r="I967" s="111"/>
    </row>
    <row r="968">
      <c r="I968" s="111"/>
    </row>
    <row r="969">
      <c r="I969" s="111"/>
    </row>
    <row r="970">
      <c r="I970" s="111"/>
    </row>
    <row r="971">
      <c r="I971" s="111"/>
    </row>
    <row r="972">
      <c r="I972" s="111"/>
    </row>
    <row r="973">
      <c r="I973" s="111"/>
    </row>
    <row r="974">
      <c r="I974" s="111"/>
    </row>
    <row r="975">
      <c r="I975" s="111"/>
    </row>
    <row r="976">
      <c r="I976" s="111"/>
    </row>
    <row r="977">
      <c r="I977" s="111"/>
    </row>
    <row r="978">
      <c r="I978" s="111"/>
    </row>
    <row r="979">
      <c r="I979" s="111"/>
    </row>
    <row r="980">
      <c r="I980" s="111"/>
    </row>
    <row r="981">
      <c r="I981" s="111"/>
    </row>
    <row r="982">
      <c r="I982" s="111"/>
    </row>
    <row r="983">
      <c r="I983" s="111"/>
    </row>
    <row r="984">
      <c r="I984" s="111"/>
    </row>
    <row r="985">
      <c r="I985" s="111"/>
    </row>
    <row r="986">
      <c r="I986" s="111"/>
    </row>
    <row r="987">
      <c r="I987" s="111"/>
    </row>
    <row r="988">
      <c r="I988" s="111"/>
    </row>
    <row r="989">
      <c r="I989" s="111"/>
    </row>
    <row r="990">
      <c r="I990" s="111"/>
    </row>
    <row r="991">
      <c r="I991" s="111"/>
    </row>
    <row r="992">
      <c r="I992" s="111"/>
    </row>
    <row r="993">
      <c r="I993" s="111"/>
    </row>
    <row r="994">
      <c r="I994" s="111"/>
    </row>
    <row r="995">
      <c r="I995" s="111"/>
    </row>
    <row r="996">
      <c r="I996" s="111"/>
    </row>
    <row r="997">
      <c r="I997" s="111"/>
    </row>
    <row r="998">
      <c r="I998" s="111"/>
    </row>
    <row r="999">
      <c r="I999" s="111"/>
    </row>
    <row r="1000">
      <c r="I1000" s="111"/>
    </row>
    <row r="1001">
      <c r="I1001" s="111"/>
    </row>
  </sheetData>
  <mergeCells count="8">
    <mergeCell ref="G78:H78"/>
    <mergeCell ref="E121:F121"/>
    <mergeCell ref="G121:H121"/>
    <mergeCell ref="L166:M166"/>
    <mergeCell ref="N166:O166"/>
    <mergeCell ref="L171:M171"/>
    <mergeCell ref="K433:L433"/>
    <mergeCell ref="E498:F498"/>
  </mergeCells>
  <conditionalFormatting sqref="I1:I1001">
    <cfRule type="notContainsBlanks" dxfId="7" priority="1">
      <formula>LEN(TRIM(I1))&gt;0</formula>
    </cfRule>
  </conditionalFormatting>
  <hyperlinks>
    <hyperlink r:id="rId1" ref="A276"/>
  </hyperlinks>
  <drawing r:id="rId2"/>
</worksheet>
</file>